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nay\Downloads\"/>
    </mc:Choice>
  </mc:AlternateContent>
  <xr:revisionPtr revIDLastSave="0" documentId="13_ncr:1_{551F83C5-757D-4AC8-971D-43F616F9ABD6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86" i="2" l="1"/>
  <c r="AH286" i="2"/>
  <c r="AF286" i="2"/>
  <c r="AI285" i="2"/>
  <c r="AH285" i="2"/>
  <c r="AF285" i="2"/>
  <c r="AI284" i="2"/>
  <c r="AH284" i="2"/>
  <c r="AF284" i="2"/>
  <c r="AI283" i="2"/>
  <c r="AH283" i="2"/>
  <c r="AF283" i="2"/>
  <c r="AI282" i="2"/>
  <c r="AH282" i="2"/>
  <c r="AF282" i="2"/>
  <c r="AI281" i="2"/>
  <c r="AH281" i="2"/>
  <c r="AF281" i="2"/>
  <c r="AI280" i="2"/>
  <c r="AH280" i="2"/>
  <c r="AF280" i="2"/>
  <c r="AI279" i="2"/>
  <c r="AH279" i="2"/>
  <c r="AF279" i="2"/>
  <c r="AI278" i="2"/>
  <c r="AH278" i="2"/>
  <c r="AF278" i="2"/>
  <c r="AI277" i="2"/>
  <c r="AH277" i="2"/>
  <c r="AF277" i="2"/>
  <c r="AI276" i="2"/>
  <c r="AH276" i="2"/>
  <c r="AF276" i="2"/>
  <c r="AI275" i="2"/>
  <c r="AH275" i="2"/>
  <c r="AF275" i="2"/>
  <c r="AI274" i="2"/>
  <c r="AH274" i="2"/>
  <c r="AF274" i="2"/>
  <c r="AI273" i="2"/>
  <c r="AH273" i="2"/>
  <c r="AF273" i="2"/>
  <c r="AI272" i="2"/>
  <c r="AH272" i="2"/>
  <c r="AF272" i="2"/>
  <c r="AI271" i="2"/>
  <c r="AH271" i="2"/>
  <c r="AF271" i="2"/>
  <c r="AI270" i="2"/>
  <c r="AH270" i="2"/>
  <c r="AF270" i="2"/>
  <c r="AI269" i="2"/>
  <c r="AH269" i="2"/>
  <c r="AF269" i="2"/>
  <c r="AI268" i="2"/>
  <c r="AH268" i="2"/>
  <c r="AF268" i="2"/>
  <c r="AI267" i="2"/>
  <c r="AH267" i="2"/>
  <c r="AF267" i="2"/>
  <c r="AI266" i="2"/>
  <c r="AH266" i="2"/>
  <c r="AF266" i="2"/>
  <c r="AI265" i="2"/>
  <c r="AH265" i="2"/>
  <c r="AF265" i="2"/>
  <c r="AI264" i="2"/>
  <c r="AH264" i="2"/>
  <c r="AF264" i="2"/>
  <c r="AI263" i="2"/>
  <c r="AH263" i="2"/>
  <c r="AF263" i="2"/>
  <c r="AI262" i="2"/>
  <c r="AH262" i="2"/>
  <c r="AF262" i="2"/>
  <c r="AI261" i="2"/>
  <c r="AH261" i="2"/>
  <c r="AF261" i="2"/>
  <c r="AI260" i="2"/>
  <c r="AH260" i="2"/>
  <c r="AF260" i="2"/>
  <c r="AI259" i="2"/>
  <c r="AH259" i="2"/>
  <c r="AF259" i="2"/>
  <c r="AI258" i="2"/>
  <c r="AH258" i="2"/>
  <c r="AF258" i="2"/>
  <c r="AI257" i="2"/>
  <c r="AH257" i="2"/>
  <c r="AF257" i="2"/>
  <c r="AI256" i="2"/>
  <c r="AH256" i="2"/>
  <c r="AF256" i="2"/>
  <c r="AI255" i="2"/>
  <c r="AH255" i="2"/>
  <c r="AF255" i="2"/>
  <c r="AI254" i="2"/>
  <c r="AH254" i="2"/>
  <c r="AF254" i="2"/>
  <c r="AI253" i="2"/>
  <c r="AH253" i="2"/>
  <c r="AF253" i="2"/>
  <c r="AI252" i="2"/>
  <c r="AH252" i="2"/>
  <c r="AF252" i="2"/>
  <c r="AI251" i="2"/>
  <c r="AH251" i="2"/>
  <c r="AF251" i="2"/>
  <c r="AI250" i="2"/>
  <c r="AH250" i="2"/>
  <c r="AF250" i="2"/>
  <c r="AI249" i="2"/>
  <c r="AH249" i="2"/>
  <c r="AF249" i="2"/>
  <c r="AI248" i="2"/>
  <c r="AH248" i="2"/>
  <c r="AF248" i="2"/>
  <c r="AI247" i="2"/>
  <c r="AH247" i="2"/>
  <c r="AF247" i="2"/>
  <c r="AI246" i="2"/>
  <c r="AH246" i="2"/>
  <c r="AF246" i="2"/>
  <c r="AI245" i="2"/>
  <c r="AH245" i="2"/>
  <c r="AF245" i="2"/>
  <c r="AI244" i="2"/>
  <c r="AH244" i="2"/>
  <c r="AF244" i="2"/>
  <c r="AI243" i="2"/>
  <c r="AH243" i="2"/>
  <c r="AF243" i="2"/>
  <c r="AI242" i="2"/>
  <c r="AH242" i="2"/>
  <c r="AF242" i="2"/>
  <c r="AI241" i="2"/>
  <c r="AH241" i="2"/>
  <c r="AF241" i="2"/>
  <c r="AI240" i="2"/>
  <c r="AH240" i="2"/>
  <c r="AF240" i="2"/>
  <c r="AI239" i="2"/>
  <c r="AH239" i="2"/>
  <c r="AF239" i="2"/>
  <c r="AI238" i="2"/>
  <c r="AH238" i="2"/>
  <c r="AF238" i="2"/>
  <c r="AI237" i="2"/>
  <c r="AH237" i="2"/>
  <c r="AF237" i="2"/>
  <c r="AI236" i="2"/>
  <c r="AH236" i="2"/>
  <c r="AF236" i="2"/>
  <c r="AI235" i="2"/>
  <c r="AH235" i="2"/>
  <c r="AF235" i="2"/>
  <c r="AI234" i="2"/>
  <c r="AH234" i="2"/>
  <c r="AF234" i="2"/>
  <c r="AI233" i="2"/>
  <c r="AH233" i="2"/>
  <c r="AF233" i="2"/>
  <c r="AI232" i="2"/>
  <c r="AH232" i="2"/>
  <c r="AF232" i="2"/>
  <c r="AI231" i="2"/>
  <c r="AH231" i="2"/>
  <c r="AF231" i="2"/>
  <c r="AI230" i="2"/>
  <c r="AH230" i="2"/>
  <c r="AF230" i="2"/>
  <c r="AI229" i="2"/>
  <c r="AH229" i="2"/>
  <c r="AF229" i="2"/>
  <c r="AI228" i="2"/>
  <c r="AH228" i="2"/>
  <c r="AF228" i="2"/>
  <c r="AI227" i="2"/>
  <c r="AH227" i="2"/>
  <c r="AF227" i="2"/>
  <c r="AI226" i="2"/>
  <c r="AH226" i="2"/>
  <c r="AF226" i="2"/>
  <c r="AI225" i="2"/>
  <c r="AH225" i="2"/>
  <c r="AF225" i="2"/>
  <c r="AI224" i="2"/>
  <c r="AH224" i="2"/>
  <c r="AF224" i="2"/>
  <c r="AI223" i="2"/>
  <c r="AH223" i="2"/>
  <c r="AF223" i="2"/>
  <c r="AI222" i="2"/>
  <c r="AH222" i="2"/>
  <c r="AF222" i="2"/>
  <c r="AI221" i="2"/>
  <c r="AH221" i="2"/>
  <c r="AF221" i="2"/>
  <c r="AI220" i="2"/>
  <c r="AH220" i="2"/>
  <c r="AF220" i="2"/>
  <c r="AI219" i="2"/>
  <c r="AH219" i="2"/>
  <c r="AF219" i="2"/>
  <c r="AI218" i="2"/>
  <c r="AH218" i="2"/>
  <c r="AF218" i="2"/>
  <c r="AI217" i="2"/>
  <c r="AH217" i="2"/>
  <c r="AF217" i="2"/>
  <c r="AI216" i="2"/>
  <c r="AH216" i="2"/>
  <c r="AF216" i="2"/>
  <c r="AI215" i="2"/>
  <c r="AH215" i="2"/>
  <c r="AF215" i="2"/>
  <c r="AI214" i="2"/>
  <c r="AH214" i="2"/>
  <c r="AF214" i="2"/>
  <c r="AI213" i="2"/>
  <c r="AH213" i="2"/>
  <c r="AF213" i="2"/>
  <c r="AI212" i="2"/>
  <c r="AH212" i="2"/>
  <c r="AF212" i="2"/>
  <c r="AI211" i="2"/>
  <c r="AH211" i="2"/>
  <c r="AF211" i="2"/>
  <c r="AI210" i="2"/>
  <c r="AH210" i="2"/>
  <c r="AF210" i="2"/>
  <c r="AI209" i="2"/>
  <c r="AH209" i="2"/>
  <c r="AF209" i="2"/>
  <c r="AI208" i="2"/>
  <c r="AH208" i="2"/>
  <c r="AF208" i="2"/>
  <c r="AI207" i="2"/>
  <c r="AH207" i="2"/>
  <c r="AF207" i="2"/>
  <c r="AI206" i="2"/>
  <c r="AH206" i="2"/>
  <c r="AF206" i="2"/>
  <c r="AI205" i="2"/>
  <c r="AH205" i="2"/>
  <c r="AF205" i="2"/>
  <c r="AI204" i="2"/>
  <c r="AH204" i="2"/>
  <c r="AF204" i="2"/>
  <c r="AI203" i="2"/>
  <c r="AH203" i="2"/>
  <c r="AF203" i="2"/>
  <c r="AI202" i="2"/>
  <c r="AH202" i="2"/>
  <c r="AF202" i="2"/>
  <c r="AI201" i="2"/>
  <c r="AH201" i="2"/>
  <c r="AF201" i="2"/>
  <c r="AI200" i="2"/>
  <c r="AH200" i="2"/>
  <c r="AF200" i="2"/>
  <c r="AI199" i="2"/>
  <c r="AH199" i="2"/>
  <c r="AF199" i="2"/>
  <c r="AI198" i="2"/>
  <c r="AH198" i="2"/>
  <c r="AF198" i="2"/>
  <c r="AI197" i="2"/>
  <c r="AH197" i="2"/>
  <c r="AF197" i="2"/>
  <c r="AI196" i="2"/>
  <c r="AH196" i="2"/>
  <c r="AF196" i="2"/>
  <c r="AI195" i="2"/>
  <c r="AH195" i="2"/>
  <c r="AF195" i="2"/>
  <c r="AI194" i="2"/>
  <c r="AH194" i="2"/>
  <c r="AF194" i="2"/>
  <c r="AI193" i="2"/>
  <c r="AH193" i="2"/>
  <c r="AF193" i="2"/>
  <c r="AI192" i="2"/>
  <c r="AH192" i="2"/>
  <c r="AF192" i="2"/>
  <c r="AI191" i="2"/>
  <c r="AH191" i="2"/>
  <c r="AF191" i="2"/>
  <c r="AI190" i="2"/>
  <c r="AH190" i="2"/>
  <c r="AF190" i="2"/>
  <c r="AI189" i="2"/>
  <c r="AH189" i="2"/>
  <c r="AF189" i="2"/>
  <c r="AI188" i="2"/>
  <c r="AH188" i="2"/>
  <c r="AF188" i="2"/>
  <c r="AI187" i="2"/>
  <c r="AH187" i="2"/>
  <c r="AF187" i="2"/>
  <c r="AI186" i="2"/>
  <c r="AH186" i="2"/>
  <c r="AF186" i="2"/>
  <c r="AI185" i="2"/>
  <c r="AH185" i="2"/>
  <c r="AF185" i="2"/>
  <c r="AI184" i="2"/>
  <c r="AH184" i="2"/>
  <c r="AF184" i="2"/>
  <c r="AI183" i="2"/>
  <c r="AH183" i="2"/>
  <c r="AF183" i="2"/>
  <c r="AI182" i="2"/>
  <c r="AH182" i="2"/>
  <c r="AF182" i="2"/>
  <c r="AI181" i="2"/>
  <c r="AH181" i="2"/>
  <c r="AF181" i="2"/>
  <c r="AI180" i="2"/>
  <c r="AH180" i="2"/>
  <c r="AF180" i="2"/>
  <c r="AI179" i="2"/>
  <c r="AH179" i="2"/>
  <c r="AF179" i="2"/>
  <c r="AI178" i="2"/>
  <c r="AH178" i="2"/>
  <c r="AF178" i="2"/>
  <c r="AI177" i="2"/>
  <c r="AH177" i="2"/>
  <c r="AF177" i="2"/>
  <c r="AI176" i="2"/>
  <c r="AH176" i="2"/>
  <c r="AF176" i="2"/>
  <c r="AI175" i="2"/>
  <c r="AH175" i="2"/>
  <c r="AF175" i="2"/>
  <c r="AI174" i="2"/>
  <c r="AH174" i="2"/>
  <c r="AF174" i="2"/>
  <c r="AI173" i="2"/>
  <c r="AH173" i="2"/>
  <c r="AF173" i="2"/>
  <c r="AI172" i="2"/>
  <c r="AH172" i="2"/>
  <c r="AF172" i="2"/>
  <c r="AI171" i="2"/>
  <c r="AH171" i="2"/>
  <c r="AF171" i="2"/>
  <c r="AI170" i="2"/>
  <c r="AH170" i="2"/>
  <c r="AF170" i="2"/>
  <c r="AI169" i="2"/>
  <c r="AH169" i="2"/>
  <c r="AF169" i="2"/>
  <c r="AI168" i="2"/>
  <c r="AH168" i="2"/>
  <c r="AF168" i="2"/>
  <c r="AI167" i="2"/>
  <c r="AH167" i="2"/>
  <c r="AF167" i="2"/>
  <c r="AI166" i="2"/>
  <c r="AH166" i="2"/>
  <c r="AF166" i="2"/>
  <c r="AI165" i="2"/>
  <c r="AH165" i="2"/>
  <c r="AF165" i="2"/>
  <c r="AI164" i="2"/>
  <c r="AH164" i="2"/>
  <c r="AF164" i="2"/>
  <c r="AI163" i="2"/>
  <c r="AH163" i="2"/>
  <c r="AF163" i="2"/>
  <c r="AI162" i="2"/>
  <c r="AH162" i="2"/>
  <c r="AF162" i="2"/>
  <c r="AI161" i="2"/>
  <c r="AH161" i="2"/>
  <c r="AF161" i="2"/>
  <c r="AI160" i="2"/>
  <c r="AH160" i="2"/>
  <c r="AF160" i="2"/>
  <c r="AI159" i="2"/>
  <c r="AH159" i="2"/>
  <c r="AF159" i="2"/>
  <c r="AI158" i="2"/>
  <c r="AH158" i="2"/>
  <c r="AF158" i="2"/>
  <c r="AI157" i="2"/>
  <c r="AH157" i="2"/>
  <c r="AF157" i="2"/>
  <c r="AI156" i="2"/>
  <c r="AH156" i="2"/>
  <c r="AF156" i="2"/>
  <c r="AI155" i="2"/>
  <c r="AH155" i="2"/>
  <c r="AF155" i="2"/>
  <c r="AI154" i="2"/>
  <c r="AH154" i="2"/>
  <c r="AF154" i="2"/>
  <c r="AI153" i="2"/>
  <c r="AH153" i="2"/>
  <c r="AF153" i="2"/>
  <c r="AI152" i="2"/>
  <c r="AH152" i="2"/>
  <c r="AF152" i="2"/>
  <c r="AI151" i="2"/>
  <c r="AH151" i="2"/>
  <c r="AF151" i="2"/>
  <c r="AI150" i="2"/>
  <c r="AH150" i="2"/>
  <c r="AF150" i="2"/>
  <c r="AI149" i="2"/>
  <c r="AH149" i="2"/>
  <c r="AF149" i="2"/>
  <c r="AI148" i="2"/>
  <c r="AH148" i="2"/>
  <c r="AF148" i="2"/>
  <c r="AI147" i="2"/>
  <c r="AH147" i="2"/>
  <c r="AF147" i="2"/>
  <c r="AI146" i="2"/>
  <c r="AH146" i="2"/>
  <c r="AF146" i="2"/>
  <c r="AI145" i="2"/>
  <c r="AH145" i="2"/>
  <c r="AF145" i="2"/>
  <c r="AI144" i="2"/>
  <c r="AH144" i="2"/>
  <c r="AF144" i="2"/>
  <c r="AI143" i="2"/>
  <c r="AH143" i="2"/>
  <c r="AF143" i="2"/>
  <c r="AI142" i="2"/>
  <c r="AH142" i="2"/>
  <c r="AF142" i="2"/>
  <c r="AI141" i="2"/>
  <c r="AH141" i="2"/>
  <c r="AF141" i="2"/>
  <c r="AI140" i="2"/>
  <c r="AH140" i="2"/>
  <c r="AF140" i="2"/>
  <c r="AI139" i="2"/>
  <c r="AH139" i="2"/>
  <c r="AF139" i="2"/>
  <c r="AI138" i="2"/>
  <c r="AH138" i="2"/>
  <c r="AF138" i="2"/>
  <c r="AI137" i="2"/>
  <c r="AH137" i="2"/>
  <c r="AF137" i="2"/>
  <c r="AI136" i="2"/>
  <c r="AH136" i="2"/>
  <c r="AF136" i="2"/>
  <c r="AI135" i="2"/>
  <c r="AH135" i="2"/>
  <c r="AF135" i="2"/>
  <c r="AI134" i="2"/>
  <c r="AH134" i="2"/>
  <c r="AF134" i="2"/>
  <c r="AI133" i="2"/>
  <c r="AH133" i="2"/>
  <c r="AF133" i="2"/>
  <c r="AI132" i="2"/>
  <c r="AH132" i="2"/>
  <c r="AF132" i="2"/>
  <c r="AI131" i="2"/>
  <c r="AH131" i="2"/>
  <c r="AF131" i="2"/>
  <c r="AI130" i="2"/>
  <c r="AH130" i="2"/>
  <c r="AF130" i="2"/>
  <c r="AI129" i="2"/>
  <c r="AH129" i="2"/>
  <c r="AF129" i="2"/>
  <c r="AI128" i="2"/>
  <c r="AH128" i="2"/>
  <c r="AF128" i="2"/>
  <c r="AI127" i="2"/>
  <c r="AH127" i="2"/>
  <c r="AF127" i="2"/>
  <c r="AI126" i="2"/>
  <c r="AH126" i="2"/>
  <c r="AF126" i="2"/>
  <c r="AI125" i="2"/>
  <c r="AH125" i="2"/>
  <c r="AF125" i="2"/>
  <c r="AI124" i="2"/>
  <c r="AH124" i="2"/>
  <c r="AF124" i="2"/>
  <c r="AI123" i="2"/>
  <c r="AH123" i="2"/>
  <c r="AF123" i="2"/>
  <c r="AI122" i="2"/>
  <c r="AH122" i="2"/>
  <c r="AF122" i="2"/>
  <c r="AI121" i="2"/>
  <c r="AH121" i="2"/>
  <c r="AF121" i="2"/>
  <c r="AI120" i="2"/>
  <c r="AH120" i="2"/>
  <c r="AF120" i="2"/>
  <c r="AI119" i="2"/>
  <c r="AH119" i="2"/>
  <c r="AF119" i="2"/>
  <c r="AI118" i="2"/>
  <c r="AH118" i="2"/>
  <c r="AF118" i="2"/>
  <c r="AI117" i="2"/>
  <c r="AH117" i="2"/>
  <c r="AF117" i="2"/>
  <c r="AI116" i="2"/>
  <c r="AH116" i="2"/>
  <c r="AF116" i="2"/>
  <c r="AI115" i="2"/>
  <c r="AH115" i="2"/>
  <c r="AF115" i="2"/>
  <c r="AI114" i="2"/>
  <c r="AH114" i="2"/>
  <c r="AF114" i="2"/>
  <c r="AI113" i="2"/>
  <c r="AH113" i="2"/>
  <c r="AF113" i="2"/>
  <c r="AI112" i="2"/>
  <c r="AH112" i="2"/>
  <c r="AF112" i="2"/>
  <c r="AI111" i="2"/>
  <c r="AH111" i="2"/>
  <c r="AF111" i="2"/>
  <c r="AI110" i="2"/>
  <c r="AH110" i="2"/>
  <c r="AF110" i="2"/>
  <c r="AI109" i="2"/>
  <c r="AH109" i="2"/>
  <c r="AF109" i="2"/>
  <c r="AI108" i="2"/>
  <c r="AH108" i="2"/>
  <c r="AF108" i="2"/>
  <c r="AI107" i="2"/>
  <c r="AH107" i="2"/>
  <c r="AF107" i="2"/>
  <c r="AI106" i="2"/>
  <c r="AH106" i="2"/>
  <c r="AF106" i="2"/>
  <c r="AI105" i="2"/>
  <c r="AH105" i="2"/>
  <c r="AF105" i="2"/>
  <c r="AI104" i="2"/>
  <c r="AH104" i="2"/>
  <c r="AF104" i="2"/>
  <c r="AI103" i="2"/>
  <c r="AH103" i="2"/>
  <c r="AF103" i="2"/>
  <c r="AI102" i="2"/>
  <c r="AH102" i="2"/>
  <c r="AF102" i="2"/>
  <c r="AI101" i="2"/>
  <c r="AH101" i="2"/>
  <c r="AF101" i="2"/>
  <c r="AI100" i="2"/>
  <c r="AH100" i="2"/>
  <c r="AF100" i="2"/>
  <c r="AI99" i="2"/>
  <c r="AH99" i="2"/>
  <c r="AF99" i="2"/>
  <c r="AI98" i="2"/>
  <c r="AH98" i="2"/>
  <c r="AF98" i="2"/>
  <c r="AI97" i="2"/>
  <c r="AH97" i="2"/>
  <c r="AF97" i="2"/>
  <c r="AI96" i="2"/>
  <c r="AH96" i="2"/>
  <c r="AF96" i="2"/>
  <c r="AI95" i="2"/>
  <c r="AH95" i="2"/>
  <c r="AF95" i="2"/>
  <c r="AI94" i="2"/>
  <c r="AH94" i="2"/>
  <c r="AF94" i="2"/>
  <c r="AI93" i="2"/>
  <c r="AH93" i="2"/>
  <c r="AF93" i="2"/>
  <c r="AI92" i="2"/>
  <c r="AH92" i="2"/>
  <c r="AF92" i="2"/>
  <c r="AI91" i="2"/>
  <c r="AH91" i="2"/>
  <c r="AF91" i="2"/>
  <c r="AI90" i="2"/>
  <c r="AH90" i="2"/>
  <c r="AF90" i="2"/>
  <c r="AI89" i="2"/>
  <c r="AH89" i="2"/>
  <c r="AF89" i="2"/>
  <c r="AI88" i="2"/>
  <c r="AH88" i="2"/>
  <c r="AF88" i="2"/>
  <c r="AI87" i="2"/>
  <c r="AH87" i="2"/>
  <c r="AF87" i="2"/>
  <c r="AI86" i="2"/>
  <c r="AH86" i="2"/>
  <c r="AF86" i="2"/>
  <c r="AI85" i="2"/>
  <c r="AH85" i="2"/>
  <c r="AF85" i="2"/>
  <c r="AI84" i="2"/>
  <c r="AH84" i="2"/>
  <c r="AF84" i="2"/>
  <c r="AI83" i="2"/>
  <c r="AH83" i="2"/>
  <c r="AF83" i="2"/>
  <c r="AI82" i="2"/>
  <c r="AH82" i="2"/>
  <c r="AF82" i="2"/>
  <c r="AI81" i="2"/>
  <c r="AH81" i="2"/>
  <c r="AF81" i="2"/>
  <c r="AI80" i="2"/>
  <c r="AH80" i="2"/>
  <c r="AF80" i="2"/>
  <c r="AI79" i="2"/>
  <c r="AH79" i="2"/>
  <c r="AF79" i="2"/>
  <c r="AI78" i="2"/>
  <c r="AH78" i="2"/>
  <c r="AF78" i="2"/>
  <c r="AI77" i="2"/>
  <c r="AH77" i="2"/>
  <c r="AF77" i="2"/>
  <c r="AI76" i="2"/>
  <c r="AH76" i="2"/>
  <c r="AF76" i="2"/>
  <c r="AI75" i="2"/>
  <c r="AH75" i="2"/>
  <c r="AF75" i="2"/>
  <c r="AI74" i="2"/>
  <c r="AH74" i="2"/>
  <c r="AF74" i="2"/>
  <c r="AI73" i="2"/>
  <c r="AH73" i="2"/>
  <c r="AF73" i="2"/>
  <c r="AI72" i="2"/>
  <c r="AH72" i="2"/>
  <c r="AF72" i="2"/>
  <c r="AI71" i="2"/>
  <c r="AH71" i="2"/>
  <c r="AF71" i="2"/>
  <c r="AI70" i="2"/>
  <c r="AH70" i="2"/>
  <c r="AF70" i="2"/>
  <c r="AI69" i="2"/>
  <c r="AH69" i="2"/>
  <c r="AF69" i="2"/>
  <c r="AI68" i="2"/>
  <c r="AH68" i="2"/>
  <c r="AF68" i="2"/>
  <c r="AI67" i="2"/>
  <c r="AH67" i="2"/>
  <c r="AF67" i="2"/>
  <c r="AI66" i="2"/>
  <c r="AH66" i="2"/>
  <c r="AF66" i="2"/>
  <c r="AI65" i="2"/>
  <c r="AH65" i="2"/>
  <c r="AF65" i="2"/>
  <c r="AI64" i="2"/>
  <c r="AH64" i="2"/>
  <c r="AF64" i="2"/>
  <c r="AI63" i="2"/>
  <c r="AH63" i="2"/>
  <c r="AF63" i="2"/>
  <c r="AI62" i="2"/>
  <c r="AH62" i="2"/>
  <c r="AF62" i="2"/>
  <c r="AI61" i="2"/>
  <c r="AH61" i="2"/>
  <c r="AF61" i="2"/>
  <c r="AI60" i="2"/>
  <c r="AH60" i="2"/>
  <c r="AF60" i="2"/>
  <c r="AI59" i="2"/>
  <c r="AH59" i="2"/>
  <c r="AF59" i="2"/>
  <c r="AI58" i="2"/>
  <c r="AH58" i="2"/>
  <c r="AF58" i="2"/>
  <c r="AI57" i="2"/>
  <c r="AH57" i="2"/>
  <c r="AF57" i="2"/>
  <c r="AI56" i="2"/>
  <c r="AH56" i="2"/>
  <c r="AF56" i="2"/>
  <c r="AI55" i="2"/>
  <c r="AH55" i="2"/>
  <c r="AF55" i="2"/>
  <c r="AI54" i="2"/>
  <c r="AH54" i="2"/>
  <c r="AF54" i="2"/>
  <c r="AI53" i="2"/>
  <c r="AH53" i="2"/>
  <c r="AF53" i="2"/>
  <c r="AI52" i="2"/>
  <c r="AH52" i="2"/>
  <c r="AF52" i="2"/>
  <c r="AI51" i="2"/>
  <c r="AH51" i="2"/>
  <c r="AF51" i="2"/>
  <c r="AI50" i="2"/>
  <c r="AH50" i="2"/>
  <c r="AF50" i="2"/>
  <c r="AI49" i="2"/>
  <c r="AH49" i="2"/>
  <c r="AF49" i="2"/>
  <c r="AI48" i="2"/>
  <c r="AH48" i="2"/>
  <c r="AF48" i="2"/>
  <c r="AI47" i="2"/>
  <c r="AH47" i="2"/>
  <c r="AF47" i="2"/>
  <c r="AI46" i="2"/>
  <c r="AH46" i="2"/>
  <c r="AF46" i="2"/>
  <c r="AI45" i="2"/>
  <c r="AH45" i="2"/>
  <c r="AF45" i="2"/>
  <c r="AI44" i="2"/>
  <c r="AH44" i="2"/>
  <c r="AF44" i="2"/>
  <c r="AI43" i="2"/>
  <c r="AH43" i="2"/>
  <c r="AF43" i="2"/>
  <c r="AI42" i="2"/>
  <c r="AH42" i="2"/>
  <c r="AF42" i="2"/>
  <c r="AI41" i="2"/>
  <c r="AH41" i="2"/>
  <c r="AF41" i="2"/>
  <c r="AI40" i="2"/>
  <c r="AH40" i="2"/>
  <c r="AF40" i="2"/>
  <c r="AI39" i="2"/>
  <c r="AH39" i="2"/>
  <c r="AF39" i="2"/>
  <c r="AI38" i="2"/>
  <c r="AH38" i="2"/>
  <c r="AF38" i="2"/>
  <c r="AI37" i="2"/>
  <c r="AH37" i="2"/>
  <c r="AF37" i="2"/>
  <c r="AI36" i="2"/>
  <c r="AH36" i="2"/>
  <c r="AF36" i="2"/>
  <c r="AI35" i="2"/>
  <c r="AH35" i="2"/>
  <c r="AF35" i="2"/>
  <c r="AI34" i="2"/>
  <c r="AH34" i="2"/>
  <c r="AF34" i="2"/>
  <c r="AI33" i="2"/>
  <c r="AH33" i="2"/>
  <c r="AF33" i="2"/>
  <c r="AI32" i="2"/>
  <c r="AH32" i="2"/>
  <c r="AF32" i="2"/>
  <c r="AI31" i="2"/>
  <c r="AH31" i="2"/>
  <c r="AF31" i="2"/>
  <c r="AI30" i="2"/>
  <c r="AH30" i="2"/>
  <c r="AF30" i="2"/>
  <c r="AI29" i="2"/>
  <c r="AH29" i="2"/>
  <c r="AF29" i="2"/>
  <c r="AI28" i="2"/>
  <c r="AH28" i="2"/>
  <c r="AF28" i="2"/>
  <c r="AI27" i="2"/>
  <c r="AH27" i="2"/>
  <c r="AF27" i="2"/>
  <c r="AI26" i="2"/>
  <c r="AH26" i="2"/>
  <c r="AF26" i="2"/>
  <c r="AI25" i="2"/>
  <c r="AH25" i="2"/>
  <c r="AF25" i="2"/>
  <c r="AI24" i="2"/>
  <c r="AH24" i="2"/>
  <c r="AF24" i="2"/>
  <c r="AI23" i="2"/>
  <c r="AH23" i="2"/>
  <c r="AF23" i="2"/>
  <c r="AI22" i="2"/>
  <c r="AH22" i="2"/>
  <c r="AF22" i="2"/>
  <c r="AI21" i="2"/>
  <c r="AH21" i="2"/>
  <c r="AF21" i="2"/>
  <c r="AI20" i="2"/>
  <c r="AH20" i="2"/>
  <c r="AF20" i="2"/>
  <c r="AI19" i="2"/>
  <c r="AH19" i="2"/>
  <c r="AF19" i="2"/>
  <c r="AI18" i="2"/>
  <c r="AH18" i="2"/>
  <c r="AF18" i="2"/>
  <c r="AI17" i="2"/>
  <c r="AH17" i="2"/>
  <c r="AF17" i="2"/>
  <c r="AI16" i="2"/>
  <c r="AH16" i="2"/>
  <c r="AF16" i="2"/>
  <c r="AI15" i="2"/>
  <c r="AH15" i="2"/>
  <c r="AF15" i="2"/>
  <c r="AI14" i="2"/>
  <c r="AH14" i="2"/>
  <c r="AF14" i="2"/>
  <c r="AI13" i="2"/>
  <c r="AH13" i="2"/>
  <c r="AF13" i="2"/>
  <c r="AI12" i="2"/>
  <c r="AH12" i="2"/>
  <c r="AF12" i="2"/>
  <c r="AI11" i="2"/>
  <c r="AH11" i="2"/>
  <c r="AF11" i="2"/>
  <c r="AI10" i="2"/>
  <c r="AH10" i="2"/>
  <c r="AF10" i="2"/>
  <c r="AI9" i="2"/>
  <c r="AH9" i="2"/>
  <c r="AF9" i="2"/>
  <c r="AI8" i="2"/>
  <c r="AH8" i="2"/>
  <c r="AF8" i="2"/>
  <c r="AI7" i="2"/>
  <c r="AH7" i="2"/>
  <c r="AF7" i="2"/>
  <c r="AI6" i="2"/>
  <c r="AH6" i="2"/>
  <c r="AF6" i="2"/>
  <c r="AI5" i="2"/>
  <c r="AH5" i="2"/>
  <c r="AF5" i="2"/>
  <c r="AI4" i="2"/>
  <c r="AH4" i="2"/>
  <c r="AF4" i="2"/>
  <c r="AI3" i="2"/>
  <c r="AH3" i="2"/>
  <c r="AF3" i="2"/>
  <c r="AI2" i="2"/>
  <c r="AH2" i="2"/>
  <c r="AF2" i="2"/>
</calcChain>
</file>

<file path=xl/sharedStrings.xml><?xml version="1.0" encoding="utf-8"?>
<sst xmlns="http://schemas.openxmlformats.org/spreadsheetml/2006/main" count="8411" uniqueCount="90">
  <si>
    <t>Gender</t>
  </si>
  <si>
    <t>Age</t>
  </si>
  <si>
    <t>work_experience_yrs</t>
  </si>
  <si>
    <t>Height_cm</t>
  </si>
  <si>
    <t>Weight_kg</t>
  </si>
  <si>
    <t>BMI</t>
  </si>
  <si>
    <t>Waist_Size_in</t>
  </si>
  <si>
    <t>ALT</t>
  </si>
  <si>
    <t>AST</t>
  </si>
  <si>
    <t>Bilirubin_Total</t>
  </si>
  <si>
    <t>Bilirubin_Direct</t>
  </si>
  <si>
    <t>Bilirubin_Indirect</t>
  </si>
  <si>
    <t>AST_ALT_Ratio</t>
  </si>
  <si>
    <t>Alcoholism_frequency</t>
  </si>
  <si>
    <t>For_how_many_years_have_you_been_consuming_alcohol</t>
  </si>
  <si>
    <t>Avg_Consumption_Quantity</t>
  </si>
  <si>
    <t>What_type_of_alcohol_do_you_primarily_consume?</t>
  </si>
  <si>
    <t>Smoking_Intensity</t>
  </si>
  <si>
    <t>BMI_Category</t>
  </si>
  <si>
    <t>Has_Hypertension</t>
  </si>
  <si>
    <t>Has_Diabetes</t>
  </si>
  <si>
    <t>Has_Other_Condition</t>
  </si>
  <si>
    <t>Had_Surgery</t>
  </si>
  <si>
    <t>Is_Smoker</t>
  </si>
  <si>
    <t>tobacco_consumer</t>
  </si>
  <si>
    <t>Smoking_Duration_Years</t>
  </si>
  <si>
    <t>patient_no</t>
  </si>
  <si>
    <t>Alcohol_Consumption_yes_no</t>
  </si>
  <si>
    <t>dietary_preferences_veg_nonveg</t>
  </si>
  <si>
    <t>Has_Liver_Symptoms</t>
  </si>
  <si>
    <t>Liver_Status</t>
  </si>
  <si>
    <t>Future_Risk_Score</t>
  </si>
  <si>
    <t>Future_Risk_Category</t>
  </si>
  <si>
    <t>Normal</t>
  </si>
  <si>
    <t>Low Risk</t>
  </si>
  <si>
    <t>Moderate Risk</t>
  </si>
  <si>
    <t>ALD</t>
  </si>
  <si>
    <t>NAFLD</t>
  </si>
  <si>
    <t>High Risk</t>
  </si>
  <si>
    <t>Male</t>
  </si>
  <si>
    <t>Female</t>
  </si>
  <si>
    <t>Obese</t>
  </si>
  <si>
    <t>Overweight</t>
  </si>
  <si>
    <t>Underweight</t>
  </si>
  <si>
    <t>No</t>
  </si>
  <si>
    <t>Yes</t>
  </si>
  <si>
    <t>Non Vegitarian</t>
  </si>
  <si>
    <t>Vegitarian</t>
  </si>
  <si>
    <t>Active</t>
  </si>
  <si>
    <t>Moderate</t>
  </si>
  <si>
    <t>Sedentary</t>
  </si>
  <si>
    <t>Describe your level of weekly physical activity</t>
  </si>
  <si>
    <t>Light</t>
  </si>
  <si>
    <t>Liver_Status_Label</t>
  </si>
  <si>
    <t>With_underreported_Alcohol_History</t>
  </si>
  <si>
    <t>Weekly once</t>
  </si>
  <si>
    <t>Monthly or less</t>
  </si>
  <si>
    <t>2 to 4 times a month</t>
  </si>
  <si>
    <t>2 to 3 times a week</t>
  </si>
  <si>
    <t>10-15 yrs</t>
  </si>
  <si>
    <t>5-10 yrs</t>
  </si>
  <si>
    <t>0-5 yrs</t>
  </si>
  <si>
    <t>16-20 yrs</t>
  </si>
  <si>
    <t>more than 20 yrs</t>
  </si>
  <si>
    <t>3 or 4 drinks</t>
  </si>
  <si>
    <t>1 or 2 drinks</t>
  </si>
  <si>
    <t>5-10 drinks</t>
  </si>
  <si>
    <t>Beer</t>
  </si>
  <si>
    <t>Mixed</t>
  </si>
  <si>
    <t>SPIRITS (Vodka, Whiskey, Gin, Rum, Tequila &amp; others)</t>
  </si>
  <si>
    <t>Beer, SPIRITS (Vodka, Whiskey, Gin, Rum, Tequila &amp; others), Mixed</t>
  </si>
  <si>
    <t>Beer, SPIRITS (Vodka, Whiskey, Gin, Rum, Tequila &amp; others)</t>
  </si>
  <si>
    <t>Wine</t>
  </si>
  <si>
    <t>wine</t>
  </si>
  <si>
    <t>5–10 yrs</t>
  </si>
  <si>
    <t>From Less than 5 years</t>
  </si>
  <si>
    <t>More than 15 yrs</t>
  </si>
  <si>
    <t>11-15 yrs</t>
  </si>
  <si>
    <t>Weekly once or twice</t>
  </si>
  <si>
    <t>1 or 2 cigarettes a day</t>
  </si>
  <si>
    <t>Less than 5 cigarettes per day</t>
  </si>
  <si>
    <t>Quit</t>
  </si>
  <si>
    <t>Rarely/ sometimes</t>
  </si>
  <si>
    <t>5–10 cigarettes per day</t>
  </si>
  <si>
    <t>Normal_Abnormal_Liver</t>
  </si>
  <si>
    <t>Abnormal</t>
  </si>
  <si>
    <t>ALD (Probable)</t>
  </si>
  <si>
    <t>Hyperbilirubinemia</t>
  </si>
  <si>
    <t>Others</t>
  </si>
  <si>
    <t>ALD (Confirmed)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</si>
</sst>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rgb="FF43434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 readingOrder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 readingOrder="1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 readingOrder="1"/>
    </xf>
    <xf numFmtId="164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65"/>
  <sheetViews>
    <sheetView tabSelected="1" zoomScale="99" zoomScaleNormal="100" workbookViewId="0">
      <selection sqref="A1:A1048576"/>
    </sheetView>
  </sheetViews>
  <sheetFormatPr defaultColWidth="9.109375" defaultRowHeight="14.4" x14ac:dyDescent="0.3"/>
  <cols>
    <col min="1" max="1" width="9.109375" style="5"/>
    <col min="2" max="2" width="9.109375" style="5" customWidth="1"/>
    <col min="3" max="3" width="9.109375" style="5"/>
    <col min="4" max="4" width="9.6640625" style="5" customWidth="1"/>
    <col min="5" max="7" width="9.109375" style="5" customWidth="1"/>
    <col min="8" max="8" width="12.6640625" style="5" customWidth="1"/>
    <col min="9" max="11" width="8.5546875" style="5" customWidth="1"/>
    <col min="12" max="12" width="9.88671875" style="5" customWidth="1"/>
    <col min="13" max="13" width="8.5546875" style="5" customWidth="1"/>
    <col min="14" max="14" width="8.44140625" style="5" customWidth="1"/>
    <col min="15" max="15" width="9.109375" style="5"/>
    <col min="16" max="16" width="12.5546875" style="5" bestFit="1" customWidth="1"/>
    <col min="17" max="17" width="13.33203125" style="5" bestFit="1" customWidth="1"/>
    <col min="18" max="18" width="15" style="5" bestFit="1" customWidth="1"/>
    <col min="19" max="19" width="15" style="5" customWidth="1"/>
    <col min="20" max="24" width="12.33203125" style="5" customWidth="1"/>
    <col min="25" max="27" width="11.109375" style="5" customWidth="1"/>
    <col min="28" max="28" width="15" style="5" customWidth="1"/>
    <col min="29" max="30" width="18.21875" style="5" customWidth="1"/>
    <col min="31" max="32" width="17.21875" style="5" customWidth="1"/>
    <col min="33" max="33" width="11.21875" style="5" customWidth="1"/>
    <col min="34" max="35" width="16.44140625" style="5" customWidth="1"/>
    <col min="36" max="36" width="17.109375" style="5" customWidth="1"/>
    <col min="37" max="37" width="19.6640625" style="5" customWidth="1"/>
    <col min="38" max="16384" width="9.109375" style="5"/>
  </cols>
  <sheetData>
    <row r="1" spans="1:37" s="3" customFormat="1" ht="72" x14ac:dyDescent="0.3">
      <c r="A1" s="3" t="s">
        <v>26</v>
      </c>
      <c r="B1" s="3" t="s">
        <v>0</v>
      </c>
      <c r="C1" s="3" t="s">
        <v>1</v>
      </c>
      <c r="D1" s="4" t="s">
        <v>2</v>
      </c>
      <c r="E1" s="3" t="s">
        <v>3</v>
      </c>
      <c r="F1" s="3" t="s">
        <v>4</v>
      </c>
      <c r="G1" s="3" t="s">
        <v>5</v>
      </c>
      <c r="H1" s="3" t="s">
        <v>18</v>
      </c>
      <c r="I1" s="4" t="s">
        <v>6</v>
      </c>
      <c r="J1" s="5" t="s">
        <v>19</v>
      </c>
      <c r="K1" s="5" t="s">
        <v>20</v>
      </c>
      <c r="L1" s="5" t="s">
        <v>21</v>
      </c>
      <c r="M1" s="5" t="s">
        <v>22</v>
      </c>
      <c r="N1" s="3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12</v>
      </c>
      <c r="T1" s="5" t="s">
        <v>27</v>
      </c>
      <c r="U1" s="5" t="s">
        <v>13</v>
      </c>
      <c r="V1" s="5" t="s">
        <v>14</v>
      </c>
      <c r="W1" s="4" t="s">
        <v>15</v>
      </c>
      <c r="X1" s="4" t="s">
        <v>16</v>
      </c>
      <c r="Y1" s="5" t="s">
        <v>23</v>
      </c>
      <c r="Z1" s="5" t="s">
        <v>25</v>
      </c>
      <c r="AA1" s="4" t="s">
        <v>17</v>
      </c>
      <c r="AB1" s="3" t="s">
        <v>24</v>
      </c>
      <c r="AC1" s="4" t="s">
        <v>28</v>
      </c>
      <c r="AD1" s="1" t="s">
        <v>29</v>
      </c>
      <c r="AE1" s="4" t="s">
        <v>51</v>
      </c>
      <c r="AF1" s="4" t="s">
        <v>84</v>
      </c>
      <c r="AG1" s="1" t="s">
        <v>30</v>
      </c>
      <c r="AH1" s="1" t="s">
        <v>53</v>
      </c>
      <c r="AI1" s="1" t="s">
        <v>54</v>
      </c>
      <c r="AJ1" s="1" t="s">
        <v>31</v>
      </c>
      <c r="AK1" s="1" t="s">
        <v>32</v>
      </c>
    </row>
    <row r="2" spans="1:37" x14ac:dyDescent="0.3">
      <c r="A2" s="5">
        <v>2</v>
      </c>
      <c r="B2" s="5" t="s">
        <v>39</v>
      </c>
      <c r="C2" s="5">
        <v>24</v>
      </c>
      <c r="D2" s="2">
        <v>2</v>
      </c>
      <c r="E2" s="5">
        <v>173</v>
      </c>
      <c r="F2" s="5">
        <v>91</v>
      </c>
      <c r="G2" s="6">
        <v>30.405292525644022</v>
      </c>
      <c r="H2" s="9" t="s">
        <v>41</v>
      </c>
      <c r="I2" s="2">
        <v>38</v>
      </c>
      <c r="J2" s="5" t="s">
        <v>44</v>
      </c>
      <c r="K2" s="5" t="s">
        <v>44</v>
      </c>
      <c r="L2" s="5" t="s">
        <v>44</v>
      </c>
      <c r="M2" s="5" t="s">
        <v>44</v>
      </c>
      <c r="N2" s="5">
        <v>21.8</v>
      </c>
      <c r="O2" s="5">
        <v>26.7</v>
      </c>
      <c r="P2" s="5">
        <v>0.7</v>
      </c>
      <c r="Q2" s="5">
        <v>0.19</v>
      </c>
      <c r="R2" s="5">
        <v>0.51</v>
      </c>
      <c r="S2" s="8">
        <v>1.2247706422018347</v>
      </c>
      <c r="T2" s="5" t="s">
        <v>44</v>
      </c>
      <c r="Y2" s="5" t="s">
        <v>44</v>
      </c>
      <c r="AB2" s="9" t="s">
        <v>44</v>
      </c>
      <c r="AC2" s="2" t="s">
        <v>46</v>
      </c>
      <c r="AD2" s="2">
        <v>0</v>
      </c>
      <c r="AE2" s="2" t="s">
        <v>48</v>
      </c>
      <c r="AF2" s="2" t="s">
        <v>33</v>
      </c>
      <c r="AG2" s="5">
        <v>0</v>
      </c>
      <c r="AH2" s="5" t="s">
        <v>33</v>
      </c>
      <c r="AI2" s="5" t="s">
        <v>33</v>
      </c>
      <c r="AJ2" s="5">
        <v>16</v>
      </c>
      <c r="AK2" s="5" t="s">
        <v>34</v>
      </c>
    </row>
    <row r="3" spans="1:37" ht="43.2" x14ac:dyDescent="0.3">
      <c r="A3" s="5">
        <v>3</v>
      </c>
      <c r="B3" s="5" t="s">
        <v>39</v>
      </c>
      <c r="C3" s="5">
        <v>35</v>
      </c>
      <c r="D3" s="2">
        <v>2</v>
      </c>
      <c r="E3" s="5">
        <v>168</v>
      </c>
      <c r="F3" s="5">
        <v>75</v>
      </c>
      <c r="G3" s="6">
        <v>26.573129251700678</v>
      </c>
      <c r="H3" s="9" t="s">
        <v>42</v>
      </c>
      <c r="I3" s="2">
        <v>34</v>
      </c>
      <c r="J3" s="5" t="s">
        <v>44</v>
      </c>
      <c r="K3" s="5" t="s">
        <v>44</v>
      </c>
      <c r="L3" s="5" t="s">
        <v>44</v>
      </c>
      <c r="M3" s="5" t="s">
        <v>44</v>
      </c>
      <c r="N3" s="5">
        <v>42.8</v>
      </c>
      <c r="O3" s="5">
        <v>32.799999999999997</v>
      </c>
      <c r="P3" s="5">
        <v>1.02</v>
      </c>
      <c r="Q3" s="5">
        <v>0.12</v>
      </c>
      <c r="R3" s="5">
        <v>0.9</v>
      </c>
      <c r="S3" s="8">
        <v>0.76635514018691586</v>
      </c>
      <c r="T3" s="5" t="s">
        <v>45</v>
      </c>
      <c r="U3" s="5" t="s">
        <v>55</v>
      </c>
      <c r="V3" s="5" t="s">
        <v>59</v>
      </c>
      <c r="W3" s="5" t="s">
        <v>64</v>
      </c>
      <c r="X3" s="5" t="s">
        <v>67</v>
      </c>
      <c r="Y3" s="5" t="s">
        <v>45</v>
      </c>
      <c r="Z3" s="5" t="s">
        <v>74</v>
      </c>
      <c r="AA3" s="5" t="s">
        <v>78</v>
      </c>
      <c r="AB3" s="9" t="s">
        <v>45</v>
      </c>
      <c r="AC3" s="2" t="s">
        <v>46</v>
      </c>
      <c r="AD3" s="2">
        <v>0</v>
      </c>
      <c r="AE3" s="2" t="s">
        <v>48</v>
      </c>
      <c r="AF3" s="2" t="s">
        <v>33</v>
      </c>
      <c r="AG3" s="5">
        <v>0</v>
      </c>
      <c r="AH3" s="5" t="s">
        <v>33</v>
      </c>
      <c r="AI3" s="5" t="s">
        <v>33</v>
      </c>
      <c r="AJ3" s="5">
        <v>30</v>
      </c>
      <c r="AK3" s="5" t="s">
        <v>35</v>
      </c>
    </row>
    <row r="4" spans="1:37" ht="43.2" x14ac:dyDescent="0.3">
      <c r="A4" s="5">
        <v>4</v>
      </c>
      <c r="B4" s="5" t="s">
        <v>39</v>
      </c>
      <c r="C4" s="5">
        <v>24</v>
      </c>
      <c r="D4" s="2">
        <v>1</v>
      </c>
      <c r="E4" s="5">
        <v>164</v>
      </c>
      <c r="F4" s="5">
        <v>60</v>
      </c>
      <c r="G4" s="6">
        <v>22.308149910767401</v>
      </c>
      <c r="H4" s="9" t="s">
        <v>33</v>
      </c>
      <c r="I4" s="2">
        <v>30</v>
      </c>
      <c r="J4" s="5" t="s">
        <v>44</v>
      </c>
      <c r="K4" s="5" t="s">
        <v>44</v>
      </c>
      <c r="L4" s="5" t="s">
        <v>44</v>
      </c>
      <c r="M4" s="5" t="s">
        <v>45</v>
      </c>
      <c r="N4" s="5">
        <v>14.87</v>
      </c>
      <c r="O4" s="5">
        <v>52.31</v>
      </c>
      <c r="P4" s="5">
        <v>0.23</v>
      </c>
      <c r="Q4" s="5">
        <v>0.14000000000000001</v>
      </c>
      <c r="R4" s="5">
        <v>0.09</v>
      </c>
      <c r="S4" s="8">
        <v>3.517821116341628</v>
      </c>
      <c r="T4" s="5" t="s">
        <v>44</v>
      </c>
      <c r="Y4" s="5" t="s">
        <v>45</v>
      </c>
      <c r="Z4" s="5" t="s">
        <v>75</v>
      </c>
      <c r="AA4" s="5" t="s">
        <v>79</v>
      </c>
      <c r="AB4" s="9" t="s">
        <v>44</v>
      </c>
      <c r="AC4" s="2" t="s">
        <v>46</v>
      </c>
      <c r="AD4" s="2">
        <v>0</v>
      </c>
      <c r="AE4" s="2" t="s">
        <v>48</v>
      </c>
      <c r="AF4" s="2" t="s">
        <v>85</v>
      </c>
      <c r="AG4" s="5">
        <v>1</v>
      </c>
      <c r="AH4" s="5" t="s">
        <v>36</v>
      </c>
      <c r="AI4" s="5" t="s">
        <v>86</v>
      </c>
      <c r="AJ4" s="5">
        <v>9</v>
      </c>
      <c r="AK4" s="5" t="s">
        <v>34</v>
      </c>
    </row>
    <row r="5" spans="1:37" x14ac:dyDescent="0.3">
      <c r="A5" s="5">
        <v>5</v>
      </c>
      <c r="B5" s="5" t="s">
        <v>39</v>
      </c>
      <c r="C5" s="5">
        <v>32</v>
      </c>
      <c r="D5" s="2">
        <v>7</v>
      </c>
      <c r="E5" s="5">
        <v>160</v>
      </c>
      <c r="F5" s="5">
        <v>78</v>
      </c>
      <c r="G5" s="6">
        <v>30.46875</v>
      </c>
      <c r="H5" s="9" t="s">
        <v>41</v>
      </c>
      <c r="I5" s="2">
        <v>34</v>
      </c>
      <c r="J5" s="5" t="s">
        <v>44</v>
      </c>
      <c r="K5" s="5" t="s">
        <v>44</v>
      </c>
      <c r="L5" s="5" t="s">
        <v>44</v>
      </c>
      <c r="M5" s="5" t="s">
        <v>44</v>
      </c>
      <c r="N5" s="5">
        <v>39.1</v>
      </c>
      <c r="O5" s="5">
        <v>43.8</v>
      </c>
      <c r="P5" s="5">
        <v>1.01</v>
      </c>
      <c r="Q5" s="5">
        <v>0.22</v>
      </c>
      <c r="R5" s="5">
        <v>0.79</v>
      </c>
      <c r="S5" s="8">
        <v>1.1202046035805626</v>
      </c>
      <c r="T5" s="5" t="s">
        <v>44</v>
      </c>
      <c r="Y5" s="5" t="s">
        <v>44</v>
      </c>
      <c r="AB5" s="9" t="s">
        <v>44</v>
      </c>
      <c r="AC5" s="2" t="s">
        <v>46</v>
      </c>
      <c r="AD5" s="2">
        <v>0</v>
      </c>
      <c r="AE5" s="2" t="s">
        <v>48</v>
      </c>
      <c r="AF5" s="2" t="s">
        <v>85</v>
      </c>
      <c r="AG5" s="5">
        <v>1</v>
      </c>
      <c r="AH5" s="5" t="s">
        <v>37</v>
      </c>
      <c r="AI5" s="5" t="s">
        <v>37</v>
      </c>
      <c r="AJ5" s="5">
        <v>20</v>
      </c>
      <c r="AK5" s="5" t="s">
        <v>34</v>
      </c>
    </row>
    <row r="6" spans="1:37" x14ac:dyDescent="0.3">
      <c r="A6" s="5">
        <v>6</v>
      </c>
      <c r="B6" s="5" t="s">
        <v>39</v>
      </c>
      <c r="C6" s="5">
        <v>25</v>
      </c>
      <c r="D6" s="2">
        <v>6</v>
      </c>
      <c r="E6" s="5">
        <v>167</v>
      </c>
      <c r="F6" s="5">
        <v>64</v>
      </c>
      <c r="G6" s="6">
        <v>22.948115744558788</v>
      </c>
      <c r="H6" s="9" t="s">
        <v>33</v>
      </c>
      <c r="I6" s="2">
        <v>34</v>
      </c>
      <c r="J6" s="5" t="s">
        <v>44</v>
      </c>
      <c r="K6" s="5" t="s">
        <v>44</v>
      </c>
      <c r="L6" s="5" t="s">
        <v>44</v>
      </c>
      <c r="M6" s="5" t="s">
        <v>44</v>
      </c>
      <c r="N6" s="5">
        <v>38.9</v>
      </c>
      <c r="O6" s="5">
        <v>32.200000000000003</v>
      </c>
      <c r="P6" s="5">
        <v>0.35</v>
      </c>
      <c r="Q6" s="5">
        <v>7.0000000000000007E-2</v>
      </c>
      <c r="R6" s="5">
        <v>0.28000000000000003</v>
      </c>
      <c r="S6" s="8">
        <v>0.82776349614395894</v>
      </c>
      <c r="T6" s="5" t="s">
        <v>44</v>
      </c>
      <c r="Y6" s="5" t="s">
        <v>44</v>
      </c>
      <c r="AB6" s="9" t="s">
        <v>44</v>
      </c>
      <c r="AC6" s="2" t="s">
        <v>46</v>
      </c>
      <c r="AD6" s="2">
        <v>0</v>
      </c>
      <c r="AE6" s="2" t="s">
        <v>52</v>
      </c>
      <c r="AF6" s="2" t="s">
        <v>33</v>
      </c>
      <c r="AG6" s="5">
        <v>0</v>
      </c>
      <c r="AH6" s="5" t="s">
        <v>33</v>
      </c>
      <c r="AI6" s="5" t="s">
        <v>33</v>
      </c>
      <c r="AJ6" s="5">
        <v>6</v>
      </c>
      <c r="AK6" s="5" t="s">
        <v>34</v>
      </c>
    </row>
    <row r="7" spans="1:37" x14ac:dyDescent="0.3">
      <c r="A7" s="5">
        <v>7</v>
      </c>
      <c r="B7" s="5" t="s">
        <v>39</v>
      </c>
      <c r="C7" s="5">
        <v>35</v>
      </c>
      <c r="D7" s="2">
        <v>12</v>
      </c>
      <c r="E7" s="5">
        <v>156</v>
      </c>
      <c r="F7" s="5">
        <v>72</v>
      </c>
      <c r="G7" s="6">
        <v>29.585798816568047</v>
      </c>
      <c r="H7" s="9" t="s">
        <v>42</v>
      </c>
      <c r="I7" s="2">
        <v>32</v>
      </c>
      <c r="J7" s="5" t="s">
        <v>44</v>
      </c>
      <c r="K7" s="5" t="s">
        <v>44</v>
      </c>
      <c r="L7" s="5" t="s">
        <v>44</v>
      </c>
      <c r="M7" s="5" t="s">
        <v>44</v>
      </c>
      <c r="N7" s="5">
        <v>11.9</v>
      </c>
      <c r="O7" s="5">
        <v>34.1</v>
      </c>
      <c r="P7" s="5">
        <v>0.53</v>
      </c>
      <c r="Q7" s="5">
        <v>0.12</v>
      </c>
      <c r="R7" s="5">
        <v>0.41</v>
      </c>
      <c r="S7" s="8">
        <v>2.865546218487395</v>
      </c>
      <c r="T7" s="5" t="s">
        <v>44</v>
      </c>
      <c r="Y7" s="5" t="s">
        <v>44</v>
      </c>
      <c r="AB7" s="9" t="s">
        <v>44</v>
      </c>
      <c r="AC7" s="2" t="s">
        <v>46</v>
      </c>
      <c r="AD7" s="2">
        <v>0</v>
      </c>
      <c r="AE7" s="2" t="s">
        <v>49</v>
      </c>
      <c r="AF7" s="2" t="s">
        <v>33</v>
      </c>
      <c r="AG7" s="5">
        <v>0</v>
      </c>
      <c r="AH7" s="5" t="s">
        <v>33</v>
      </c>
      <c r="AI7" s="5" t="s">
        <v>33</v>
      </c>
      <c r="AJ7" s="5">
        <v>17</v>
      </c>
      <c r="AK7" s="5" t="s">
        <v>34</v>
      </c>
    </row>
    <row r="8" spans="1:37" x14ac:dyDescent="0.3">
      <c r="A8" s="5">
        <v>8</v>
      </c>
      <c r="B8" s="5" t="s">
        <v>39</v>
      </c>
      <c r="C8" s="5">
        <v>32</v>
      </c>
      <c r="D8" s="2">
        <v>2</v>
      </c>
      <c r="E8" s="5">
        <v>173</v>
      </c>
      <c r="F8" s="5">
        <v>72</v>
      </c>
      <c r="G8" s="6">
        <v>24.056934745564501</v>
      </c>
      <c r="H8" s="9" t="s">
        <v>33</v>
      </c>
      <c r="I8" s="2">
        <v>32</v>
      </c>
      <c r="J8" s="5" t="s">
        <v>44</v>
      </c>
      <c r="K8" s="5" t="s">
        <v>44</v>
      </c>
      <c r="L8" s="5" t="s">
        <v>44</v>
      </c>
      <c r="M8" s="5" t="s">
        <v>44</v>
      </c>
      <c r="N8" s="5">
        <v>82.2</v>
      </c>
      <c r="O8" s="5">
        <v>164</v>
      </c>
      <c r="P8" s="5">
        <v>1.77</v>
      </c>
      <c r="Q8" s="5">
        <v>0.21</v>
      </c>
      <c r="R8" s="5">
        <v>1.56</v>
      </c>
      <c r="S8" s="8">
        <v>1.9951338199513382</v>
      </c>
      <c r="T8" s="5" t="s">
        <v>44</v>
      </c>
      <c r="Y8" s="5" t="s">
        <v>44</v>
      </c>
      <c r="AB8" s="9" t="s">
        <v>44</v>
      </c>
      <c r="AC8" s="2" t="s">
        <v>47</v>
      </c>
      <c r="AD8" s="2">
        <v>0</v>
      </c>
      <c r="AE8" s="2" t="s">
        <v>52</v>
      </c>
      <c r="AF8" s="2" t="s">
        <v>85</v>
      </c>
      <c r="AG8" s="5">
        <v>1</v>
      </c>
      <c r="AH8" s="5" t="s">
        <v>87</v>
      </c>
      <c r="AI8" s="5" t="s">
        <v>87</v>
      </c>
      <c r="AJ8" s="5">
        <v>21</v>
      </c>
      <c r="AK8" s="5" t="s">
        <v>35</v>
      </c>
    </row>
    <row r="9" spans="1:37" ht="43.2" x14ac:dyDescent="0.3">
      <c r="A9" s="5">
        <v>10</v>
      </c>
      <c r="B9" s="5" t="s">
        <v>39</v>
      </c>
      <c r="C9" s="5">
        <v>30</v>
      </c>
      <c r="D9" s="2">
        <v>8</v>
      </c>
      <c r="E9" s="5">
        <v>165</v>
      </c>
      <c r="F9" s="5">
        <v>60</v>
      </c>
      <c r="G9" s="6">
        <v>22.038567493112946</v>
      </c>
      <c r="H9" s="9" t="s">
        <v>33</v>
      </c>
      <c r="I9" s="2">
        <v>30</v>
      </c>
      <c r="J9" s="5" t="s">
        <v>44</v>
      </c>
      <c r="K9" s="5" t="s">
        <v>44</v>
      </c>
      <c r="L9" s="5" t="s">
        <v>44</v>
      </c>
      <c r="M9" s="5" t="s">
        <v>44</v>
      </c>
      <c r="N9" s="5">
        <v>27.5</v>
      </c>
      <c r="O9" s="5">
        <v>28.6</v>
      </c>
      <c r="P9" s="5">
        <v>0.36</v>
      </c>
      <c r="Q9" s="5">
        <v>0.11</v>
      </c>
      <c r="R9" s="5">
        <v>0.25</v>
      </c>
      <c r="S9" s="8">
        <v>1.04</v>
      </c>
      <c r="T9" s="5" t="s">
        <v>44</v>
      </c>
      <c r="Y9" s="5" t="s">
        <v>45</v>
      </c>
      <c r="Z9" s="5" t="s">
        <v>74</v>
      </c>
      <c r="AA9" s="5" t="s">
        <v>80</v>
      </c>
      <c r="AB9" s="9" t="s">
        <v>45</v>
      </c>
      <c r="AC9" s="2" t="s">
        <v>46</v>
      </c>
      <c r="AD9" s="2">
        <v>0</v>
      </c>
      <c r="AE9" s="2" t="s">
        <v>48</v>
      </c>
      <c r="AF9" s="2" t="s">
        <v>33</v>
      </c>
      <c r="AG9" s="5">
        <v>0</v>
      </c>
      <c r="AH9" s="5" t="s">
        <v>33</v>
      </c>
      <c r="AI9" s="5" t="s">
        <v>33</v>
      </c>
      <c r="AJ9" s="5">
        <v>7</v>
      </c>
      <c r="AK9" s="5" t="s">
        <v>34</v>
      </c>
    </row>
    <row r="10" spans="1:37" x14ac:dyDescent="0.3">
      <c r="A10" s="5">
        <v>12</v>
      </c>
      <c r="B10" s="5" t="s">
        <v>40</v>
      </c>
      <c r="C10" s="5">
        <v>21</v>
      </c>
      <c r="D10" s="2">
        <v>2</v>
      </c>
      <c r="E10" s="5">
        <v>156</v>
      </c>
      <c r="F10" s="5">
        <v>46</v>
      </c>
      <c r="G10" s="6">
        <v>18.902038132807363</v>
      </c>
      <c r="H10" s="9" t="s">
        <v>33</v>
      </c>
      <c r="I10" s="2">
        <v>36</v>
      </c>
      <c r="J10" s="5" t="s">
        <v>44</v>
      </c>
      <c r="K10" s="5" t="s">
        <v>44</v>
      </c>
      <c r="L10" s="5" t="s">
        <v>44</v>
      </c>
      <c r="M10" s="5" t="s">
        <v>44</v>
      </c>
      <c r="N10" s="5">
        <v>13.6</v>
      </c>
      <c r="O10" s="5">
        <v>23.5</v>
      </c>
      <c r="P10" s="5">
        <v>0.6</v>
      </c>
      <c r="Q10" s="5">
        <v>0.17</v>
      </c>
      <c r="R10" s="5">
        <v>0.43</v>
      </c>
      <c r="S10" s="8">
        <v>1.7279411764705883</v>
      </c>
      <c r="T10" s="5" t="s">
        <v>44</v>
      </c>
      <c r="Y10" s="5" t="s">
        <v>44</v>
      </c>
      <c r="AA10" s="5" t="s">
        <v>81</v>
      </c>
      <c r="AB10" s="9" t="s">
        <v>44</v>
      </c>
      <c r="AC10" s="2" t="s">
        <v>47</v>
      </c>
      <c r="AD10" s="2">
        <v>0</v>
      </c>
      <c r="AE10" s="2" t="s">
        <v>48</v>
      </c>
      <c r="AF10" s="2" t="s">
        <v>33</v>
      </c>
      <c r="AG10" s="5">
        <v>0</v>
      </c>
      <c r="AH10" s="5" t="s">
        <v>33</v>
      </c>
      <c r="AI10" s="5" t="s">
        <v>33</v>
      </c>
      <c r="AJ10" s="5">
        <v>0</v>
      </c>
      <c r="AK10" s="5" t="s">
        <v>34</v>
      </c>
    </row>
    <row r="11" spans="1:37" ht="43.2" x14ac:dyDescent="0.3">
      <c r="A11" s="5">
        <v>13</v>
      </c>
      <c r="B11" s="5" t="s">
        <v>39</v>
      </c>
      <c r="C11" s="5">
        <v>36</v>
      </c>
      <c r="D11" s="2">
        <v>14</v>
      </c>
      <c r="E11" s="5">
        <v>165</v>
      </c>
      <c r="F11" s="5">
        <v>76</v>
      </c>
      <c r="G11" s="6">
        <v>27.915518824609734</v>
      </c>
      <c r="H11" s="9" t="s">
        <v>42</v>
      </c>
      <c r="I11" s="2">
        <v>34</v>
      </c>
      <c r="J11" s="5" t="s">
        <v>44</v>
      </c>
      <c r="K11" s="5" t="s">
        <v>44</v>
      </c>
      <c r="L11" s="5" t="s">
        <v>44</v>
      </c>
      <c r="M11" s="5" t="s">
        <v>44</v>
      </c>
      <c r="N11" s="5">
        <v>50.2</v>
      </c>
      <c r="O11" s="5">
        <v>44.6</v>
      </c>
      <c r="P11" s="5">
        <v>0.76</v>
      </c>
      <c r="Q11" s="5">
        <v>0.14000000000000001</v>
      </c>
      <c r="R11" s="5">
        <v>0.62</v>
      </c>
      <c r="S11" s="8">
        <v>0.88844621513944222</v>
      </c>
      <c r="T11" s="5" t="s">
        <v>45</v>
      </c>
      <c r="U11" s="5" t="s">
        <v>56</v>
      </c>
      <c r="V11" s="5" t="s">
        <v>60</v>
      </c>
      <c r="W11" s="5" t="s">
        <v>65</v>
      </c>
      <c r="X11" s="5" t="s">
        <v>67</v>
      </c>
      <c r="Y11" s="5" t="s">
        <v>45</v>
      </c>
      <c r="Z11" s="5" t="s">
        <v>74</v>
      </c>
      <c r="AA11" s="5" t="s">
        <v>79</v>
      </c>
      <c r="AB11" s="9" t="s">
        <v>45</v>
      </c>
      <c r="AC11" s="2" t="s">
        <v>47</v>
      </c>
      <c r="AD11" s="2">
        <v>0</v>
      </c>
      <c r="AE11" s="2" t="s">
        <v>50</v>
      </c>
      <c r="AF11" s="2" t="s">
        <v>85</v>
      </c>
      <c r="AG11" s="5">
        <v>1</v>
      </c>
      <c r="AH11" s="5" t="s">
        <v>37</v>
      </c>
      <c r="AI11" s="5" t="s">
        <v>37</v>
      </c>
      <c r="AJ11" s="5">
        <v>33</v>
      </c>
      <c r="AK11" s="5" t="s">
        <v>35</v>
      </c>
    </row>
    <row r="12" spans="1:37" x14ac:dyDescent="0.3">
      <c r="A12" s="5">
        <v>14</v>
      </c>
      <c r="B12" s="5" t="s">
        <v>40</v>
      </c>
      <c r="C12" s="5">
        <v>40</v>
      </c>
      <c r="D12" s="2">
        <v>15</v>
      </c>
      <c r="E12" s="5">
        <v>147</v>
      </c>
      <c r="F12" s="5">
        <v>62</v>
      </c>
      <c r="G12" s="6">
        <v>28.691748808366881</v>
      </c>
      <c r="H12" s="9" t="s">
        <v>42</v>
      </c>
      <c r="I12" s="2">
        <v>32</v>
      </c>
      <c r="J12" s="5" t="s">
        <v>44</v>
      </c>
      <c r="K12" s="5" t="s">
        <v>44</v>
      </c>
      <c r="L12" s="5" t="s">
        <v>44</v>
      </c>
      <c r="M12" s="5" t="s">
        <v>44</v>
      </c>
      <c r="N12" s="5">
        <v>23.1</v>
      </c>
      <c r="O12" s="5">
        <v>28.2</v>
      </c>
      <c r="P12" s="5">
        <v>0.36</v>
      </c>
      <c r="Q12" s="5">
        <v>0.08</v>
      </c>
      <c r="R12" s="5">
        <v>0.28000000000000003</v>
      </c>
      <c r="S12" s="8">
        <v>1.2207792207792207</v>
      </c>
      <c r="T12" s="5" t="s">
        <v>44</v>
      </c>
      <c r="Y12" s="5" t="s">
        <v>44</v>
      </c>
      <c r="AB12" s="9" t="s">
        <v>44</v>
      </c>
      <c r="AC12" s="2" t="s">
        <v>47</v>
      </c>
      <c r="AD12" s="2">
        <v>0</v>
      </c>
      <c r="AE12" s="2" t="s">
        <v>48</v>
      </c>
      <c r="AF12" s="2" t="s">
        <v>33</v>
      </c>
      <c r="AG12" s="5">
        <v>0</v>
      </c>
      <c r="AH12" s="5" t="s">
        <v>33</v>
      </c>
      <c r="AI12" s="5" t="s">
        <v>33</v>
      </c>
      <c r="AJ12" s="5">
        <v>12</v>
      </c>
      <c r="AK12" s="5" t="s">
        <v>34</v>
      </c>
    </row>
    <row r="13" spans="1:37" ht="43.2" x14ac:dyDescent="0.3">
      <c r="A13" s="5">
        <v>15</v>
      </c>
      <c r="B13" s="5" t="s">
        <v>39</v>
      </c>
      <c r="C13" s="5">
        <v>34</v>
      </c>
      <c r="D13" s="2">
        <v>10</v>
      </c>
      <c r="E13" s="5">
        <v>166</v>
      </c>
      <c r="F13" s="5">
        <v>74</v>
      </c>
      <c r="G13" s="6">
        <v>26.854405574103641</v>
      </c>
      <c r="H13" s="9" t="s">
        <v>42</v>
      </c>
      <c r="I13" s="2">
        <v>34</v>
      </c>
      <c r="J13" s="5" t="s">
        <v>44</v>
      </c>
      <c r="K13" s="5" t="s">
        <v>44</v>
      </c>
      <c r="L13" s="5" t="s">
        <v>44</v>
      </c>
      <c r="M13" s="5" t="s">
        <v>44</v>
      </c>
      <c r="N13" s="5">
        <v>21.9</v>
      </c>
      <c r="O13" s="5">
        <v>41.1</v>
      </c>
      <c r="P13" s="5">
        <v>0.73</v>
      </c>
      <c r="Q13" s="5">
        <v>0.1</v>
      </c>
      <c r="R13" s="5">
        <v>0.63</v>
      </c>
      <c r="S13" s="8">
        <v>1.8767123287671235</v>
      </c>
      <c r="T13" s="5" t="s">
        <v>45</v>
      </c>
      <c r="V13" s="5" t="s">
        <v>61</v>
      </c>
      <c r="W13" s="5" t="s">
        <v>66</v>
      </c>
      <c r="X13" s="5" t="s">
        <v>68</v>
      </c>
      <c r="Y13" s="5" t="s">
        <v>45</v>
      </c>
      <c r="Z13" s="5" t="s">
        <v>75</v>
      </c>
      <c r="AA13" s="5" t="s">
        <v>79</v>
      </c>
      <c r="AB13" s="9" t="s">
        <v>44</v>
      </c>
      <c r="AC13" s="2" t="s">
        <v>47</v>
      </c>
      <c r="AD13" s="2">
        <v>0</v>
      </c>
      <c r="AE13" s="2" t="s">
        <v>49</v>
      </c>
      <c r="AF13" s="2" t="s">
        <v>85</v>
      </c>
      <c r="AG13" s="5">
        <v>1</v>
      </c>
      <c r="AH13" s="5" t="s">
        <v>88</v>
      </c>
      <c r="AI13" s="5" t="s">
        <v>88</v>
      </c>
      <c r="AJ13" s="5">
        <v>21</v>
      </c>
      <c r="AK13" s="5" t="s">
        <v>35</v>
      </c>
    </row>
    <row r="14" spans="1:37" ht="28.8" x14ac:dyDescent="0.3">
      <c r="A14" s="5">
        <v>16</v>
      </c>
      <c r="B14" s="5" t="s">
        <v>39</v>
      </c>
      <c r="C14" s="5">
        <v>22</v>
      </c>
      <c r="D14" s="2">
        <v>1</v>
      </c>
      <c r="E14" s="5">
        <v>160</v>
      </c>
      <c r="F14" s="5">
        <v>56</v>
      </c>
      <c r="G14" s="6">
        <v>21.875000000000004</v>
      </c>
      <c r="H14" s="9" t="s">
        <v>33</v>
      </c>
      <c r="I14" s="2">
        <v>30</v>
      </c>
      <c r="J14" s="5" t="s">
        <v>44</v>
      </c>
      <c r="K14" s="5" t="s">
        <v>44</v>
      </c>
      <c r="L14" s="5" t="s">
        <v>44</v>
      </c>
      <c r="M14" s="5" t="s">
        <v>44</v>
      </c>
      <c r="N14" s="5">
        <v>36.200000000000003</v>
      </c>
      <c r="O14" s="5">
        <v>35.200000000000003</v>
      </c>
      <c r="P14" s="5">
        <v>0.3</v>
      </c>
      <c r="Q14" s="5">
        <v>0.1</v>
      </c>
      <c r="R14" s="5">
        <v>0.2</v>
      </c>
      <c r="S14" s="8">
        <v>0.97237569060773477</v>
      </c>
      <c r="T14" s="5" t="s">
        <v>45</v>
      </c>
      <c r="U14" s="5" t="s">
        <v>56</v>
      </c>
      <c r="V14" s="5" t="s">
        <v>61</v>
      </c>
      <c r="W14" s="5" t="s">
        <v>65</v>
      </c>
      <c r="X14" s="5" t="s">
        <v>68</v>
      </c>
      <c r="Y14" s="5" t="s">
        <v>44</v>
      </c>
      <c r="AB14" s="9" t="s">
        <v>44</v>
      </c>
      <c r="AC14" s="2" t="s">
        <v>46</v>
      </c>
      <c r="AD14" s="2">
        <v>0</v>
      </c>
      <c r="AE14" s="2" t="s">
        <v>49</v>
      </c>
      <c r="AF14" s="2" t="s">
        <v>33</v>
      </c>
      <c r="AG14" s="5">
        <v>0</v>
      </c>
      <c r="AH14" s="5" t="s">
        <v>33</v>
      </c>
      <c r="AI14" s="5" t="s">
        <v>33</v>
      </c>
      <c r="AJ14" s="5">
        <v>14</v>
      </c>
      <c r="AK14" s="5" t="s">
        <v>34</v>
      </c>
    </row>
    <row r="15" spans="1:37" x14ac:dyDescent="0.3">
      <c r="A15" s="5">
        <v>17</v>
      </c>
      <c r="B15" s="5" t="s">
        <v>39</v>
      </c>
      <c r="C15" s="5">
        <v>39</v>
      </c>
      <c r="D15" s="2">
        <v>16</v>
      </c>
      <c r="E15" s="5">
        <v>172</v>
      </c>
      <c r="F15" s="5">
        <v>83</v>
      </c>
      <c r="G15" s="6">
        <v>28.055705786911844</v>
      </c>
      <c r="H15" s="9" t="s">
        <v>42</v>
      </c>
      <c r="I15" s="2">
        <v>32</v>
      </c>
      <c r="J15" s="5" t="s">
        <v>44</v>
      </c>
      <c r="K15" s="5" t="s">
        <v>44</v>
      </c>
      <c r="L15" s="5" t="s">
        <v>44</v>
      </c>
      <c r="M15" s="5" t="s">
        <v>44</v>
      </c>
      <c r="N15" s="5">
        <v>25.2</v>
      </c>
      <c r="O15" s="5">
        <v>31.4</v>
      </c>
      <c r="P15" s="5">
        <v>0.34</v>
      </c>
      <c r="Q15" s="5">
        <v>0.06</v>
      </c>
      <c r="R15" s="5">
        <v>0.28000000000000003</v>
      </c>
      <c r="S15" s="8">
        <v>1.246031746031746</v>
      </c>
      <c r="T15" s="5" t="s">
        <v>44</v>
      </c>
      <c r="Y15" s="5" t="s">
        <v>44</v>
      </c>
      <c r="AB15" s="9" t="s">
        <v>44</v>
      </c>
      <c r="AC15" s="2" t="s">
        <v>46</v>
      </c>
      <c r="AD15" s="2">
        <v>0</v>
      </c>
      <c r="AE15" s="2" t="s">
        <v>48</v>
      </c>
      <c r="AF15" s="2" t="s">
        <v>33</v>
      </c>
      <c r="AG15" s="5">
        <v>0</v>
      </c>
      <c r="AH15" s="5" t="s">
        <v>33</v>
      </c>
      <c r="AI15" s="5" t="s">
        <v>33</v>
      </c>
      <c r="AJ15" s="5">
        <v>14</v>
      </c>
      <c r="AK15" s="5" t="s">
        <v>34</v>
      </c>
    </row>
    <row r="16" spans="1:37" ht="28.8" x14ac:dyDescent="0.3">
      <c r="A16" s="5">
        <v>18</v>
      </c>
      <c r="B16" s="5" t="s">
        <v>39</v>
      </c>
      <c r="C16" s="5">
        <v>27</v>
      </c>
      <c r="D16" s="2">
        <v>2</v>
      </c>
      <c r="E16" s="5">
        <v>168</v>
      </c>
      <c r="F16" s="5">
        <v>67</v>
      </c>
      <c r="G16" s="6">
        <v>23.738662131519277</v>
      </c>
      <c r="H16" s="9" t="s">
        <v>33</v>
      </c>
      <c r="I16" s="2">
        <v>32</v>
      </c>
      <c r="J16" s="5" t="s">
        <v>44</v>
      </c>
      <c r="K16" s="5" t="s">
        <v>44</v>
      </c>
      <c r="L16" s="5" t="s">
        <v>44</v>
      </c>
      <c r="M16" s="5" t="s">
        <v>44</v>
      </c>
      <c r="N16" s="5">
        <v>21.67</v>
      </c>
      <c r="O16" s="5">
        <v>25.79</v>
      </c>
      <c r="P16" s="5">
        <v>0.19</v>
      </c>
      <c r="Q16" s="5">
        <v>7.0000000000000007E-2</v>
      </c>
      <c r="R16" s="5">
        <v>0.12</v>
      </c>
      <c r="S16" s="8">
        <v>1.1901245962159666</v>
      </c>
      <c r="T16" s="5" t="s">
        <v>44</v>
      </c>
      <c r="Y16" s="5" t="s">
        <v>45</v>
      </c>
      <c r="Z16" s="5" t="s">
        <v>75</v>
      </c>
      <c r="AA16" s="5" t="s">
        <v>82</v>
      </c>
      <c r="AB16" s="9" t="s">
        <v>44</v>
      </c>
      <c r="AC16" s="2" t="s">
        <v>46</v>
      </c>
      <c r="AD16" s="2">
        <v>0</v>
      </c>
      <c r="AE16" s="2" t="s">
        <v>49</v>
      </c>
      <c r="AF16" s="2" t="s">
        <v>33</v>
      </c>
      <c r="AG16" s="5">
        <v>0</v>
      </c>
      <c r="AH16" s="5" t="s">
        <v>33</v>
      </c>
      <c r="AI16" s="5" t="s">
        <v>33</v>
      </c>
      <c r="AJ16" s="5">
        <v>8</v>
      </c>
      <c r="AK16" s="5" t="s">
        <v>34</v>
      </c>
    </row>
    <row r="17" spans="1:37" x14ac:dyDescent="0.3">
      <c r="A17" s="5">
        <v>19</v>
      </c>
      <c r="B17" s="5" t="s">
        <v>39</v>
      </c>
      <c r="C17" s="5">
        <v>27</v>
      </c>
      <c r="D17" s="2">
        <v>7</v>
      </c>
      <c r="E17" s="5">
        <v>183</v>
      </c>
      <c r="F17" s="5">
        <v>82</v>
      </c>
      <c r="G17" s="6">
        <v>24.485652005136014</v>
      </c>
      <c r="H17" s="9" t="s">
        <v>33</v>
      </c>
      <c r="I17" s="2">
        <v>28</v>
      </c>
      <c r="J17" s="5" t="s">
        <v>44</v>
      </c>
      <c r="K17" s="5" t="s">
        <v>44</v>
      </c>
      <c r="L17" s="5" t="s">
        <v>44</v>
      </c>
      <c r="M17" s="5" t="s">
        <v>44</v>
      </c>
      <c r="N17" s="5">
        <v>34</v>
      </c>
      <c r="O17" s="5">
        <v>196</v>
      </c>
      <c r="P17" s="5">
        <v>0.88</v>
      </c>
      <c r="Q17" s="5">
        <v>0.2</v>
      </c>
      <c r="R17" s="5">
        <v>0.68</v>
      </c>
      <c r="S17" s="8">
        <v>5.7647058823529411</v>
      </c>
      <c r="T17" s="5" t="s">
        <v>44</v>
      </c>
      <c r="Y17" s="5" t="s">
        <v>44</v>
      </c>
      <c r="AB17" s="9" t="s">
        <v>44</v>
      </c>
      <c r="AC17" s="2" t="s">
        <v>47</v>
      </c>
      <c r="AD17" s="2">
        <v>0</v>
      </c>
      <c r="AE17" s="2" t="s">
        <v>49</v>
      </c>
      <c r="AF17" s="2" t="s">
        <v>85</v>
      </c>
      <c r="AG17" s="5">
        <v>1</v>
      </c>
      <c r="AH17" s="5" t="s">
        <v>36</v>
      </c>
      <c r="AI17" s="5" t="s">
        <v>86</v>
      </c>
      <c r="AJ17" s="5">
        <v>13</v>
      </c>
      <c r="AK17" s="5" t="s">
        <v>34</v>
      </c>
    </row>
    <row r="18" spans="1:37" x14ac:dyDescent="0.3">
      <c r="A18" s="5">
        <v>20</v>
      </c>
      <c r="B18" s="5" t="s">
        <v>40</v>
      </c>
      <c r="C18" s="5">
        <v>27</v>
      </c>
      <c r="D18" s="2">
        <v>3</v>
      </c>
      <c r="E18" s="5">
        <v>150</v>
      </c>
      <c r="F18" s="5">
        <v>48</v>
      </c>
      <c r="G18" s="6">
        <v>21.333333333333336</v>
      </c>
      <c r="H18" s="9" t="s">
        <v>33</v>
      </c>
      <c r="I18" s="2">
        <v>30</v>
      </c>
      <c r="J18" s="5" t="s">
        <v>44</v>
      </c>
      <c r="K18" s="5" t="s">
        <v>44</v>
      </c>
      <c r="L18" s="5" t="s">
        <v>44</v>
      </c>
      <c r="M18" s="5" t="s">
        <v>44</v>
      </c>
      <c r="N18" s="5">
        <v>15.32</v>
      </c>
      <c r="O18" s="5">
        <v>22.65</v>
      </c>
      <c r="P18" s="5">
        <v>0.42</v>
      </c>
      <c r="Q18" s="5">
        <v>0.09</v>
      </c>
      <c r="R18" s="5">
        <v>0.33</v>
      </c>
      <c r="S18" s="8">
        <v>1.4784595300261096</v>
      </c>
      <c r="T18" s="5" t="s">
        <v>44</v>
      </c>
      <c r="Y18" s="5" t="s">
        <v>44</v>
      </c>
      <c r="AB18" s="9" t="s">
        <v>44</v>
      </c>
      <c r="AC18" s="2" t="s">
        <v>46</v>
      </c>
      <c r="AD18" s="2">
        <v>0</v>
      </c>
      <c r="AE18" s="2" t="s">
        <v>49</v>
      </c>
      <c r="AF18" s="2" t="s">
        <v>33</v>
      </c>
      <c r="AG18" s="5">
        <v>0</v>
      </c>
      <c r="AH18" s="5" t="s">
        <v>33</v>
      </c>
      <c r="AI18" s="5" t="s">
        <v>33</v>
      </c>
      <c r="AJ18" s="5">
        <v>6</v>
      </c>
      <c r="AK18" s="5" t="s">
        <v>34</v>
      </c>
    </row>
    <row r="19" spans="1:37" ht="28.8" x14ac:dyDescent="0.3">
      <c r="A19" s="5">
        <v>21</v>
      </c>
      <c r="B19" s="5" t="s">
        <v>39</v>
      </c>
      <c r="C19" s="5">
        <v>23</v>
      </c>
      <c r="D19" s="2">
        <v>1</v>
      </c>
      <c r="E19" s="5">
        <v>165</v>
      </c>
      <c r="F19" s="5">
        <v>60</v>
      </c>
      <c r="G19" s="6">
        <v>22.038567493112946</v>
      </c>
      <c r="H19" s="9" t="s">
        <v>33</v>
      </c>
      <c r="I19" s="2">
        <v>32</v>
      </c>
      <c r="J19" s="5" t="s">
        <v>44</v>
      </c>
      <c r="K19" s="5" t="s">
        <v>44</v>
      </c>
      <c r="L19" s="5" t="s">
        <v>44</v>
      </c>
      <c r="M19" s="5" t="s">
        <v>44</v>
      </c>
      <c r="N19" s="5">
        <v>38.6</v>
      </c>
      <c r="O19" s="5">
        <v>48.5</v>
      </c>
      <c r="P19" s="5">
        <v>0.47</v>
      </c>
      <c r="Q19" s="5">
        <v>0.06</v>
      </c>
      <c r="R19" s="5">
        <v>0.41</v>
      </c>
      <c r="S19" s="8">
        <v>1.2564766839378239</v>
      </c>
      <c r="T19" s="5" t="s">
        <v>45</v>
      </c>
      <c r="U19" s="5" t="s">
        <v>56</v>
      </c>
      <c r="V19" s="5" t="s">
        <v>61</v>
      </c>
      <c r="W19" s="5" t="s">
        <v>65</v>
      </c>
      <c r="X19" s="5" t="s">
        <v>68</v>
      </c>
      <c r="Y19" s="5" t="s">
        <v>44</v>
      </c>
      <c r="AB19" s="9" t="s">
        <v>44</v>
      </c>
      <c r="AC19" s="2" t="s">
        <v>46</v>
      </c>
      <c r="AD19" s="2">
        <v>0</v>
      </c>
      <c r="AE19" s="2" t="s">
        <v>52</v>
      </c>
      <c r="AF19" s="2" t="s">
        <v>85</v>
      </c>
      <c r="AG19" s="5">
        <v>1</v>
      </c>
      <c r="AH19" s="5" t="s">
        <v>88</v>
      </c>
      <c r="AI19" s="5" t="s">
        <v>88</v>
      </c>
      <c r="AJ19" s="5">
        <v>16</v>
      </c>
      <c r="AK19" s="5" t="s">
        <v>34</v>
      </c>
    </row>
    <row r="20" spans="1:37" x14ac:dyDescent="0.3">
      <c r="A20" s="5">
        <v>22</v>
      </c>
      <c r="B20" s="5" t="s">
        <v>40</v>
      </c>
      <c r="C20" s="5">
        <v>21</v>
      </c>
      <c r="D20" s="2">
        <v>1</v>
      </c>
      <c r="E20" s="5">
        <v>156</v>
      </c>
      <c r="F20" s="5">
        <v>53</v>
      </c>
      <c r="G20" s="6">
        <v>21.778435239973703</v>
      </c>
      <c r="H20" s="9" t="s">
        <v>33</v>
      </c>
      <c r="I20" s="2">
        <v>28</v>
      </c>
      <c r="J20" s="5" t="s">
        <v>44</v>
      </c>
      <c r="K20" s="5" t="s">
        <v>44</v>
      </c>
      <c r="L20" s="5" t="s">
        <v>44</v>
      </c>
      <c r="M20" s="5" t="s">
        <v>44</v>
      </c>
      <c r="N20" s="5">
        <v>12.6</v>
      </c>
      <c r="O20" s="5">
        <v>21.6</v>
      </c>
      <c r="P20" s="5">
        <v>0.22</v>
      </c>
      <c r="Q20" s="5">
        <v>0.09</v>
      </c>
      <c r="R20" s="5">
        <v>0.13</v>
      </c>
      <c r="S20" s="8">
        <v>1.7142857142857144</v>
      </c>
      <c r="T20" s="5" t="s">
        <v>44</v>
      </c>
      <c r="Y20" s="5" t="s">
        <v>44</v>
      </c>
      <c r="AB20" s="9" t="s">
        <v>44</v>
      </c>
      <c r="AC20" s="2" t="s">
        <v>46</v>
      </c>
      <c r="AD20" s="2">
        <v>0</v>
      </c>
      <c r="AE20" s="2" t="s">
        <v>50</v>
      </c>
      <c r="AF20" s="2" t="s">
        <v>33</v>
      </c>
      <c r="AG20" s="5">
        <v>0</v>
      </c>
      <c r="AH20" s="5" t="s">
        <v>33</v>
      </c>
      <c r="AI20" s="5" t="s">
        <v>33</v>
      </c>
      <c r="AJ20" s="5">
        <v>10</v>
      </c>
      <c r="AK20" s="5" t="s">
        <v>34</v>
      </c>
    </row>
    <row r="21" spans="1:37" x14ac:dyDescent="0.3">
      <c r="A21" s="5">
        <v>23</v>
      </c>
      <c r="B21" s="5" t="s">
        <v>39</v>
      </c>
      <c r="C21" s="5">
        <v>31</v>
      </c>
      <c r="D21" s="2">
        <v>10</v>
      </c>
      <c r="E21" s="5">
        <v>180</v>
      </c>
      <c r="F21" s="5">
        <v>92</v>
      </c>
      <c r="G21" s="6">
        <v>28.39506172839506</v>
      </c>
      <c r="H21" s="9" t="s">
        <v>42</v>
      </c>
      <c r="I21" s="2">
        <v>36</v>
      </c>
      <c r="J21" s="5" t="s">
        <v>44</v>
      </c>
      <c r="K21" s="5" t="s">
        <v>44</v>
      </c>
      <c r="L21" s="5" t="s">
        <v>44</v>
      </c>
      <c r="M21" s="5" t="s">
        <v>44</v>
      </c>
      <c r="N21" s="5">
        <v>30</v>
      </c>
      <c r="O21" s="5">
        <v>216</v>
      </c>
      <c r="P21" s="5">
        <v>0.47</v>
      </c>
      <c r="Q21" s="5">
        <v>0.13</v>
      </c>
      <c r="R21" s="5">
        <v>0.34</v>
      </c>
      <c r="S21" s="8">
        <v>7.2</v>
      </c>
      <c r="T21" s="5" t="s">
        <v>44</v>
      </c>
      <c r="Y21" s="5" t="s">
        <v>44</v>
      </c>
      <c r="AA21" s="5" t="s">
        <v>81</v>
      </c>
      <c r="AB21" s="9" t="s">
        <v>44</v>
      </c>
      <c r="AC21" s="2" t="s">
        <v>46</v>
      </c>
      <c r="AD21" s="2">
        <v>0</v>
      </c>
      <c r="AE21" s="2" t="s">
        <v>48</v>
      </c>
      <c r="AF21" s="2" t="s">
        <v>85</v>
      </c>
      <c r="AG21" s="5">
        <v>1</v>
      </c>
      <c r="AH21" s="5" t="s">
        <v>36</v>
      </c>
      <c r="AI21" s="5" t="s">
        <v>86</v>
      </c>
      <c r="AJ21" s="5">
        <v>22</v>
      </c>
      <c r="AK21" s="5" t="s">
        <v>35</v>
      </c>
    </row>
    <row r="22" spans="1:37" ht="72" x14ac:dyDescent="0.3">
      <c r="A22" s="5">
        <v>24</v>
      </c>
      <c r="B22" s="5" t="s">
        <v>39</v>
      </c>
      <c r="C22" s="5">
        <v>22</v>
      </c>
      <c r="D22" s="2">
        <v>3</v>
      </c>
      <c r="E22" s="5">
        <v>185</v>
      </c>
      <c r="F22" s="5">
        <v>94</v>
      </c>
      <c r="G22" s="6">
        <v>27.465303140978815</v>
      </c>
      <c r="H22" s="9" t="s">
        <v>42</v>
      </c>
      <c r="I22" s="2">
        <v>38</v>
      </c>
      <c r="J22" s="5" t="s">
        <v>44</v>
      </c>
      <c r="K22" s="5" t="s">
        <v>44</v>
      </c>
      <c r="L22" s="5" t="s">
        <v>44</v>
      </c>
      <c r="M22" s="5" t="s">
        <v>44</v>
      </c>
      <c r="N22" s="5">
        <v>52.27</v>
      </c>
      <c r="O22" s="5">
        <v>47</v>
      </c>
      <c r="P22" s="5">
        <v>0.88</v>
      </c>
      <c r="Q22" s="5">
        <v>0.12</v>
      </c>
      <c r="R22" s="5">
        <v>0.76</v>
      </c>
      <c r="S22" s="8">
        <v>0.8</v>
      </c>
      <c r="T22" s="5" t="s">
        <v>45</v>
      </c>
      <c r="U22" s="5" t="s">
        <v>57</v>
      </c>
      <c r="V22" s="5" t="s">
        <v>61</v>
      </c>
      <c r="W22" s="5" t="s">
        <v>65</v>
      </c>
      <c r="X22" s="5" t="s">
        <v>69</v>
      </c>
      <c r="Y22" s="5" t="s">
        <v>45</v>
      </c>
      <c r="Z22" s="5" t="s">
        <v>74</v>
      </c>
      <c r="AA22" s="5" t="s">
        <v>79</v>
      </c>
      <c r="AB22" s="9" t="s">
        <v>44</v>
      </c>
      <c r="AC22" s="2" t="s">
        <v>46</v>
      </c>
      <c r="AD22" s="2">
        <v>0</v>
      </c>
      <c r="AE22" s="2" t="s">
        <v>48</v>
      </c>
      <c r="AF22" s="2" t="s">
        <v>85</v>
      </c>
      <c r="AG22" s="5">
        <v>1</v>
      </c>
      <c r="AH22" s="5" t="s">
        <v>37</v>
      </c>
      <c r="AI22" s="5" t="s">
        <v>37</v>
      </c>
      <c r="AJ22" s="5">
        <v>26</v>
      </c>
      <c r="AK22" s="5" t="s">
        <v>35</v>
      </c>
    </row>
    <row r="23" spans="1:37" ht="43.2" x14ac:dyDescent="0.3">
      <c r="A23" s="5">
        <v>25</v>
      </c>
      <c r="B23" s="5" t="s">
        <v>39</v>
      </c>
      <c r="C23" s="5">
        <v>24</v>
      </c>
      <c r="D23" s="2">
        <v>5</v>
      </c>
      <c r="E23" s="5">
        <v>174</v>
      </c>
      <c r="F23" s="5">
        <v>71</v>
      </c>
      <c r="G23" s="6">
        <v>23.450918219051395</v>
      </c>
      <c r="H23" s="9" t="s">
        <v>33</v>
      </c>
      <c r="I23" s="2">
        <v>34</v>
      </c>
      <c r="J23" s="5" t="s">
        <v>44</v>
      </c>
      <c r="K23" s="5" t="s">
        <v>44</v>
      </c>
      <c r="L23" s="5" t="s">
        <v>44</v>
      </c>
      <c r="M23" s="5" t="s">
        <v>44</v>
      </c>
      <c r="N23" s="5">
        <v>36.99</v>
      </c>
      <c r="O23" s="5">
        <v>143.21</v>
      </c>
      <c r="P23" s="5">
        <v>0.35</v>
      </c>
      <c r="Q23" s="5">
        <v>0.18</v>
      </c>
      <c r="R23" s="5">
        <v>0.17</v>
      </c>
      <c r="S23" s="8">
        <v>3.8715869153825357</v>
      </c>
      <c r="T23" s="5" t="s">
        <v>45</v>
      </c>
      <c r="U23" s="5" t="s">
        <v>58</v>
      </c>
      <c r="V23" s="5" t="s">
        <v>59</v>
      </c>
      <c r="W23" s="5" t="s">
        <v>66</v>
      </c>
      <c r="X23" s="5" t="s">
        <v>68</v>
      </c>
      <c r="Y23" s="5" t="s">
        <v>45</v>
      </c>
      <c r="Z23" s="5" t="s">
        <v>74</v>
      </c>
      <c r="AA23" s="5" t="s">
        <v>79</v>
      </c>
      <c r="AB23" s="9" t="s">
        <v>44</v>
      </c>
      <c r="AC23" s="2" t="s">
        <v>47</v>
      </c>
      <c r="AD23" s="2">
        <v>1</v>
      </c>
      <c r="AE23" s="2" t="s">
        <v>50</v>
      </c>
      <c r="AF23" s="2" t="s">
        <v>85</v>
      </c>
      <c r="AG23" s="5">
        <v>1</v>
      </c>
      <c r="AH23" s="5" t="s">
        <v>36</v>
      </c>
      <c r="AI23" s="5" t="s">
        <v>89</v>
      </c>
      <c r="AJ23" s="5">
        <v>40</v>
      </c>
      <c r="AK23" s="5" t="s">
        <v>35</v>
      </c>
    </row>
    <row r="24" spans="1:37" x14ac:dyDescent="0.3">
      <c r="A24" s="5">
        <v>26</v>
      </c>
      <c r="B24" s="5" t="s">
        <v>39</v>
      </c>
      <c r="C24" s="5">
        <v>43</v>
      </c>
      <c r="D24" s="2">
        <v>10</v>
      </c>
      <c r="E24" s="5">
        <v>170</v>
      </c>
      <c r="F24" s="5">
        <v>67</v>
      </c>
      <c r="G24" s="6">
        <v>23.183391003460205</v>
      </c>
      <c r="H24" s="9" t="s">
        <v>33</v>
      </c>
      <c r="I24" s="2">
        <v>34</v>
      </c>
      <c r="J24" s="5" t="s">
        <v>44</v>
      </c>
      <c r="K24" s="5" t="s">
        <v>44</v>
      </c>
      <c r="L24" s="5" t="s">
        <v>44</v>
      </c>
      <c r="M24" s="5" t="s">
        <v>44</v>
      </c>
      <c r="N24" s="5">
        <v>38.6</v>
      </c>
      <c r="O24" s="5">
        <v>32.4</v>
      </c>
      <c r="P24" s="5">
        <v>1.0900000000000001</v>
      </c>
      <c r="Q24" s="5">
        <v>0.12</v>
      </c>
      <c r="R24" s="5">
        <v>0.97</v>
      </c>
      <c r="S24" s="8">
        <v>0.8393782383419689</v>
      </c>
      <c r="T24" s="5" t="s">
        <v>44</v>
      </c>
      <c r="Y24" s="5" t="s">
        <v>44</v>
      </c>
      <c r="AB24" s="9" t="s">
        <v>44</v>
      </c>
      <c r="AC24" s="2" t="s">
        <v>47</v>
      </c>
      <c r="AD24" s="2">
        <v>0</v>
      </c>
      <c r="AE24" s="2" t="s">
        <v>52</v>
      </c>
      <c r="AF24" s="2" t="s">
        <v>33</v>
      </c>
      <c r="AG24" s="5">
        <v>0</v>
      </c>
      <c r="AH24" s="5" t="s">
        <v>33</v>
      </c>
      <c r="AI24" s="5" t="s">
        <v>33</v>
      </c>
      <c r="AJ24" s="5">
        <v>6</v>
      </c>
      <c r="AK24" s="5" t="s">
        <v>34</v>
      </c>
    </row>
    <row r="25" spans="1:37" x14ac:dyDescent="0.3">
      <c r="A25" s="5">
        <v>27</v>
      </c>
      <c r="B25" s="5" t="s">
        <v>40</v>
      </c>
      <c r="C25" s="5">
        <v>36</v>
      </c>
      <c r="D25" s="2">
        <v>12</v>
      </c>
      <c r="E25" s="5">
        <v>160</v>
      </c>
      <c r="F25" s="5">
        <v>68</v>
      </c>
      <c r="G25" s="6">
        <v>26.562500000000004</v>
      </c>
      <c r="H25" s="9" t="s">
        <v>42</v>
      </c>
      <c r="I25" s="2">
        <v>32</v>
      </c>
      <c r="J25" s="5" t="s">
        <v>44</v>
      </c>
      <c r="K25" s="5" t="s">
        <v>44</v>
      </c>
      <c r="L25" s="5" t="s">
        <v>44</v>
      </c>
      <c r="M25" s="5" t="s">
        <v>44</v>
      </c>
      <c r="N25" s="5">
        <v>14.8</v>
      </c>
      <c r="O25" s="5">
        <v>89.9</v>
      </c>
      <c r="P25" s="5">
        <v>0.27</v>
      </c>
      <c r="Q25" s="5">
        <v>0.09</v>
      </c>
      <c r="R25" s="5">
        <v>0.18</v>
      </c>
      <c r="S25" s="8">
        <v>6.0743243243243246</v>
      </c>
      <c r="T25" s="5" t="s">
        <v>44</v>
      </c>
      <c r="Y25" s="5" t="s">
        <v>44</v>
      </c>
      <c r="AB25" s="9" t="s">
        <v>44</v>
      </c>
      <c r="AC25" s="2" t="s">
        <v>47</v>
      </c>
      <c r="AD25" s="2">
        <v>0</v>
      </c>
      <c r="AE25" s="2" t="s">
        <v>49</v>
      </c>
      <c r="AF25" s="2" t="s">
        <v>85</v>
      </c>
      <c r="AG25" s="5">
        <v>1</v>
      </c>
      <c r="AH25" s="5" t="s">
        <v>36</v>
      </c>
      <c r="AI25" s="5" t="s">
        <v>86</v>
      </c>
      <c r="AJ25" s="5">
        <v>16</v>
      </c>
      <c r="AK25" s="5" t="s">
        <v>34</v>
      </c>
    </row>
    <row r="26" spans="1:37" ht="43.2" x14ac:dyDescent="0.3">
      <c r="A26" s="5">
        <v>28</v>
      </c>
      <c r="B26" s="5" t="s">
        <v>40</v>
      </c>
      <c r="C26" s="5">
        <v>30</v>
      </c>
      <c r="D26" s="2">
        <v>12</v>
      </c>
      <c r="E26" s="5">
        <v>155</v>
      </c>
      <c r="F26" s="5">
        <v>83</v>
      </c>
      <c r="G26" s="6">
        <v>34.547346514047867</v>
      </c>
      <c r="H26" s="9" t="s">
        <v>41</v>
      </c>
      <c r="I26" s="2">
        <v>40</v>
      </c>
      <c r="J26" s="5" t="s">
        <v>44</v>
      </c>
      <c r="K26" s="5" t="s">
        <v>44</v>
      </c>
      <c r="L26" s="5" t="s">
        <v>44</v>
      </c>
      <c r="M26" s="5" t="s">
        <v>44</v>
      </c>
      <c r="N26" s="5">
        <v>21.5</v>
      </c>
      <c r="O26" s="5">
        <v>99.1</v>
      </c>
      <c r="P26" s="5">
        <v>0.15</v>
      </c>
      <c r="Q26" s="5">
        <v>7.0000000000000007E-2</v>
      </c>
      <c r="R26" s="5">
        <v>0.08</v>
      </c>
      <c r="S26" s="8">
        <v>4.6093023255813952</v>
      </c>
      <c r="T26" s="5" t="s">
        <v>45</v>
      </c>
      <c r="U26" s="5" t="s">
        <v>57</v>
      </c>
      <c r="V26" s="5" t="s">
        <v>61</v>
      </c>
      <c r="W26" s="5" t="s">
        <v>65</v>
      </c>
      <c r="X26" s="5" t="s">
        <v>68</v>
      </c>
      <c r="Y26" s="5" t="s">
        <v>45</v>
      </c>
      <c r="Z26" s="5" t="s">
        <v>75</v>
      </c>
      <c r="AA26" s="5" t="s">
        <v>78</v>
      </c>
      <c r="AB26" s="9" t="s">
        <v>44</v>
      </c>
      <c r="AC26" s="2" t="s">
        <v>46</v>
      </c>
      <c r="AD26" s="2">
        <v>0</v>
      </c>
      <c r="AE26" s="2" t="s">
        <v>50</v>
      </c>
      <c r="AF26" s="2" t="s">
        <v>85</v>
      </c>
      <c r="AG26" s="5">
        <v>1</v>
      </c>
      <c r="AH26" s="5" t="s">
        <v>36</v>
      </c>
      <c r="AI26" s="5" t="s">
        <v>89</v>
      </c>
      <c r="AJ26" s="5">
        <v>42</v>
      </c>
      <c r="AK26" s="5" t="s">
        <v>38</v>
      </c>
    </row>
    <row r="27" spans="1:37" x14ac:dyDescent="0.3">
      <c r="A27" s="5">
        <v>29</v>
      </c>
      <c r="B27" s="5" t="s">
        <v>39</v>
      </c>
      <c r="C27" s="5">
        <v>28</v>
      </c>
      <c r="D27" s="2">
        <v>5</v>
      </c>
      <c r="E27" s="5">
        <v>163</v>
      </c>
      <c r="F27" s="5">
        <v>61</v>
      </c>
      <c r="G27" s="6">
        <v>22.959087658549439</v>
      </c>
      <c r="H27" s="9" t="s">
        <v>33</v>
      </c>
      <c r="I27" s="2">
        <v>32</v>
      </c>
      <c r="J27" s="5" t="s">
        <v>44</v>
      </c>
      <c r="K27" s="5" t="s">
        <v>44</v>
      </c>
      <c r="L27" s="5" t="s">
        <v>44</v>
      </c>
      <c r="M27" s="5" t="s">
        <v>44</v>
      </c>
      <c r="N27" s="5">
        <v>29.4</v>
      </c>
      <c r="O27" s="5">
        <v>34.799999999999997</v>
      </c>
      <c r="P27" s="5">
        <v>0.42</v>
      </c>
      <c r="Q27" s="5">
        <v>0.1</v>
      </c>
      <c r="R27" s="5">
        <v>0.34</v>
      </c>
      <c r="S27" s="8">
        <v>1.1836734693877551</v>
      </c>
      <c r="T27" s="5" t="s">
        <v>44</v>
      </c>
      <c r="Y27" s="5" t="s">
        <v>44</v>
      </c>
      <c r="AB27" s="9" t="s">
        <v>44</v>
      </c>
      <c r="AC27" s="2" t="s">
        <v>47</v>
      </c>
      <c r="AD27" s="2">
        <v>0</v>
      </c>
      <c r="AE27" s="2" t="s">
        <v>49</v>
      </c>
      <c r="AF27" s="2" t="s">
        <v>33</v>
      </c>
      <c r="AG27" s="5">
        <v>0</v>
      </c>
      <c r="AH27" s="5" t="s">
        <v>33</v>
      </c>
      <c r="AI27" s="5" t="s">
        <v>33</v>
      </c>
      <c r="AJ27" s="5">
        <v>4</v>
      </c>
      <c r="AK27" s="5" t="s">
        <v>34</v>
      </c>
    </row>
    <row r="28" spans="1:37" x14ac:dyDescent="0.3">
      <c r="A28" s="5">
        <v>30</v>
      </c>
      <c r="B28" s="5" t="s">
        <v>39</v>
      </c>
      <c r="C28" s="5">
        <v>36</v>
      </c>
      <c r="D28" s="2">
        <v>13</v>
      </c>
      <c r="E28" s="5">
        <v>172</v>
      </c>
      <c r="F28" s="5">
        <v>63</v>
      </c>
      <c r="G28" s="6">
        <v>21.295294753921038</v>
      </c>
      <c r="H28" s="9" t="s">
        <v>33</v>
      </c>
      <c r="I28" s="2">
        <v>32</v>
      </c>
      <c r="J28" s="5" t="s">
        <v>44</v>
      </c>
      <c r="K28" s="5" t="s">
        <v>44</v>
      </c>
      <c r="L28" s="5" t="s">
        <v>44</v>
      </c>
      <c r="M28" s="5" t="s">
        <v>44</v>
      </c>
      <c r="N28" s="5">
        <v>17.850000000000001</v>
      </c>
      <c r="O28" s="5">
        <v>27.69</v>
      </c>
      <c r="P28" s="5">
        <v>0.28000000000000003</v>
      </c>
      <c r="Q28" s="5">
        <v>7.0000000000000007E-2</v>
      </c>
      <c r="R28" s="5">
        <v>0.21</v>
      </c>
      <c r="S28" s="8">
        <v>1.5512605042016807</v>
      </c>
      <c r="T28" s="5" t="s">
        <v>44</v>
      </c>
      <c r="Y28" s="5" t="s">
        <v>44</v>
      </c>
      <c r="AB28" s="9" t="s">
        <v>44</v>
      </c>
      <c r="AC28" s="2" t="s">
        <v>46</v>
      </c>
      <c r="AD28" s="2">
        <v>0</v>
      </c>
      <c r="AE28" s="2" t="s">
        <v>48</v>
      </c>
      <c r="AF28" s="2" t="s">
        <v>33</v>
      </c>
      <c r="AG28" s="5">
        <v>0</v>
      </c>
      <c r="AH28" s="5" t="s">
        <v>33</v>
      </c>
      <c r="AI28" s="5" t="s">
        <v>33</v>
      </c>
      <c r="AJ28" s="5">
        <v>4</v>
      </c>
      <c r="AK28" s="5" t="s">
        <v>34</v>
      </c>
    </row>
    <row r="29" spans="1:37" x14ac:dyDescent="0.3">
      <c r="A29" s="5">
        <v>31</v>
      </c>
      <c r="B29" s="5" t="s">
        <v>39</v>
      </c>
      <c r="C29" s="5">
        <v>33</v>
      </c>
      <c r="D29" s="2">
        <v>8</v>
      </c>
      <c r="E29" s="5">
        <v>166</v>
      </c>
      <c r="F29" s="5">
        <v>66</v>
      </c>
      <c r="G29" s="6">
        <v>23.951226593119465</v>
      </c>
      <c r="H29" s="9" t="s">
        <v>33</v>
      </c>
      <c r="I29" s="2">
        <v>34</v>
      </c>
      <c r="J29" s="5" t="s">
        <v>44</v>
      </c>
      <c r="K29" s="5" t="s">
        <v>44</v>
      </c>
      <c r="L29" s="5" t="s">
        <v>44</v>
      </c>
      <c r="M29" s="5" t="s">
        <v>44</v>
      </c>
      <c r="N29" s="5">
        <v>79.75</v>
      </c>
      <c r="O29" s="5">
        <v>187.8</v>
      </c>
      <c r="P29" s="5">
        <v>1.19</v>
      </c>
      <c r="Q29" s="5">
        <v>0.08</v>
      </c>
      <c r="R29" s="5">
        <v>1.1100000000000001</v>
      </c>
      <c r="S29" s="8">
        <v>2.3548589341692789</v>
      </c>
      <c r="T29" s="5" t="s">
        <v>44</v>
      </c>
      <c r="Y29" s="5" t="s">
        <v>44</v>
      </c>
      <c r="AB29" s="9" t="s">
        <v>44</v>
      </c>
      <c r="AC29" s="2" t="s">
        <v>47</v>
      </c>
      <c r="AD29" s="2">
        <v>0</v>
      </c>
      <c r="AE29" s="2" t="s">
        <v>52</v>
      </c>
      <c r="AF29" s="2" t="s">
        <v>85</v>
      </c>
      <c r="AG29" s="5">
        <v>1</v>
      </c>
      <c r="AH29" s="5" t="s">
        <v>36</v>
      </c>
      <c r="AI29" s="5" t="s">
        <v>86</v>
      </c>
      <c r="AJ29" s="5">
        <v>20</v>
      </c>
      <c r="AK29" s="5" t="s">
        <v>34</v>
      </c>
    </row>
    <row r="30" spans="1:37" x14ac:dyDescent="0.3">
      <c r="A30" s="5">
        <v>32</v>
      </c>
      <c r="B30" s="5" t="s">
        <v>39</v>
      </c>
      <c r="C30" s="5">
        <v>49</v>
      </c>
      <c r="D30" s="2">
        <v>4</v>
      </c>
      <c r="E30" s="5">
        <v>168</v>
      </c>
      <c r="F30" s="5">
        <v>93</v>
      </c>
      <c r="G30" s="6">
        <v>32.950680272108848</v>
      </c>
      <c r="H30" s="9" t="s">
        <v>41</v>
      </c>
      <c r="I30" s="2">
        <v>38</v>
      </c>
      <c r="J30" s="5" t="s">
        <v>45</v>
      </c>
      <c r="K30" s="5" t="s">
        <v>44</v>
      </c>
      <c r="L30" s="5" t="s">
        <v>44</v>
      </c>
      <c r="M30" s="5" t="s">
        <v>44</v>
      </c>
      <c r="N30" s="5">
        <v>28.27</v>
      </c>
      <c r="O30" s="5">
        <v>29.49</v>
      </c>
      <c r="P30" s="5">
        <v>0.34</v>
      </c>
      <c r="Q30" s="5">
        <v>0.06</v>
      </c>
      <c r="R30" s="5">
        <v>0.28000000000000003</v>
      </c>
      <c r="S30" s="8">
        <v>1.043155288291475</v>
      </c>
      <c r="T30" s="5" t="s">
        <v>44</v>
      </c>
      <c r="Y30" s="5" t="s">
        <v>44</v>
      </c>
      <c r="AB30" s="9" t="s">
        <v>44</v>
      </c>
      <c r="AC30" s="2" t="s">
        <v>47</v>
      </c>
      <c r="AD30" s="2">
        <v>0</v>
      </c>
      <c r="AE30" s="2" t="s">
        <v>49</v>
      </c>
      <c r="AF30" s="2" t="s">
        <v>33</v>
      </c>
      <c r="AG30" s="5">
        <v>0</v>
      </c>
      <c r="AH30" s="5" t="s">
        <v>33</v>
      </c>
      <c r="AI30" s="5" t="s">
        <v>33</v>
      </c>
      <c r="AJ30" s="5">
        <v>25</v>
      </c>
      <c r="AK30" s="5" t="s">
        <v>35</v>
      </c>
    </row>
    <row r="31" spans="1:37" x14ac:dyDescent="0.3">
      <c r="A31" s="5">
        <v>33</v>
      </c>
      <c r="B31" s="5" t="s">
        <v>39</v>
      </c>
      <c r="C31" s="5">
        <v>42</v>
      </c>
      <c r="D31" s="2">
        <v>23</v>
      </c>
      <c r="E31" s="5">
        <v>168</v>
      </c>
      <c r="F31" s="5">
        <v>69</v>
      </c>
      <c r="G31" s="6">
        <v>24.447278911564627</v>
      </c>
      <c r="H31" s="9" t="s">
        <v>33</v>
      </c>
      <c r="I31" s="2">
        <v>34</v>
      </c>
      <c r="J31" s="5" t="s">
        <v>44</v>
      </c>
      <c r="K31" s="5" t="s">
        <v>44</v>
      </c>
      <c r="L31" s="5" t="s">
        <v>44</v>
      </c>
      <c r="M31" s="5" t="s">
        <v>44</v>
      </c>
      <c r="N31" s="5">
        <v>16.440000000000001</v>
      </c>
      <c r="O31" s="5">
        <v>25.99</v>
      </c>
      <c r="P31" s="5">
        <v>0.52</v>
      </c>
      <c r="Q31" s="5">
        <v>0.08</v>
      </c>
      <c r="R31" s="5">
        <v>0.44</v>
      </c>
      <c r="S31" s="8">
        <v>1.5809002433090023</v>
      </c>
      <c r="T31" s="5" t="s">
        <v>44</v>
      </c>
      <c r="Y31" s="5" t="s">
        <v>44</v>
      </c>
      <c r="AB31" s="9" t="s">
        <v>44</v>
      </c>
      <c r="AC31" s="2" t="s">
        <v>46</v>
      </c>
      <c r="AD31" s="2">
        <v>0</v>
      </c>
      <c r="AE31" s="2" t="s">
        <v>49</v>
      </c>
      <c r="AF31" s="2" t="s">
        <v>33</v>
      </c>
      <c r="AG31" s="5">
        <v>0</v>
      </c>
      <c r="AH31" s="5" t="s">
        <v>33</v>
      </c>
      <c r="AI31" s="5" t="s">
        <v>33</v>
      </c>
      <c r="AJ31" s="5">
        <v>7</v>
      </c>
      <c r="AK31" s="5" t="s">
        <v>34</v>
      </c>
    </row>
    <row r="32" spans="1:37" x14ac:dyDescent="0.3">
      <c r="A32" s="5">
        <v>34</v>
      </c>
      <c r="B32" s="5" t="s">
        <v>39</v>
      </c>
      <c r="C32" s="5">
        <v>32</v>
      </c>
      <c r="D32" s="2">
        <v>5</v>
      </c>
      <c r="E32" s="5">
        <v>183</v>
      </c>
      <c r="F32" s="5">
        <v>125</v>
      </c>
      <c r="G32" s="6">
        <v>37.325689032219536</v>
      </c>
      <c r="H32" s="9" t="s">
        <v>41</v>
      </c>
      <c r="I32" s="2">
        <v>44</v>
      </c>
      <c r="J32" s="5" t="s">
        <v>45</v>
      </c>
      <c r="K32" s="5" t="s">
        <v>44</v>
      </c>
      <c r="L32" s="5" t="s">
        <v>44</v>
      </c>
      <c r="M32" s="5" t="s">
        <v>44</v>
      </c>
      <c r="N32" s="5">
        <v>45.2</v>
      </c>
      <c r="O32" s="5">
        <v>94.33</v>
      </c>
      <c r="P32" s="5">
        <v>0.67</v>
      </c>
      <c r="Q32" s="5">
        <v>0.08</v>
      </c>
      <c r="R32" s="5">
        <v>0.59</v>
      </c>
      <c r="S32" s="8">
        <v>2.086946902654867</v>
      </c>
      <c r="T32" s="5" t="s">
        <v>44</v>
      </c>
      <c r="Y32" s="5" t="s">
        <v>44</v>
      </c>
      <c r="AB32" s="9" t="s">
        <v>44</v>
      </c>
      <c r="AC32" s="2" t="s">
        <v>47</v>
      </c>
      <c r="AD32" s="2">
        <v>0</v>
      </c>
      <c r="AE32" s="2" t="s">
        <v>50</v>
      </c>
      <c r="AF32" s="2" t="s">
        <v>85</v>
      </c>
      <c r="AG32" s="5">
        <v>1</v>
      </c>
      <c r="AH32" s="5" t="s">
        <v>36</v>
      </c>
      <c r="AI32" s="5" t="s">
        <v>86</v>
      </c>
      <c r="AJ32" s="5">
        <v>36</v>
      </c>
      <c r="AK32" s="5" t="s">
        <v>35</v>
      </c>
    </row>
    <row r="33" spans="1:37" x14ac:dyDescent="0.3">
      <c r="A33" s="5">
        <v>35</v>
      </c>
      <c r="B33" s="5" t="s">
        <v>39</v>
      </c>
      <c r="C33" s="5">
        <v>41</v>
      </c>
      <c r="D33" s="2">
        <v>1</v>
      </c>
      <c r="E33" s="5">
        <v>170</v>
      </c>
      <c r="F33" s="5">
        <v>77</v>
      </c>
      <c r="G33" s="6">
        <v>26.643598615916954</v>
      </c>
      <c r="H33" s="9" t="s">
        <v>42</v>
      </c>
      <c r="I33" s="2">
        <v>38</v>
      </c>
      <c r="J33" s="5" t="s">
        <v>44</v>
      </c>
      <c r="K33" s="5" t="s">
        <v>44</v>
      </c>
      <c r="L33" s="5" t="s">
        <v>44</v>
      </c>
      <c r="M33" s="5" t="s">
        <v>44</v>
      </c>
      <c r="N33" s="5">
        <v>37.9</v>
      </c>
      <c r="O33" s="5">
        <v>177</v>
      </c>
      <c r="P33" s="5">
        <v>0.93</v>
      </c>
      <c r="Q33" s="5">
        <v>0.17</v>
      </c>
      <c r="R33" s="5">
        <v>0.76</v>
      </c>
      <c r="S33" s="8">
        <v>4.6701846965699207</v>
      </c>
      <c r="T33" s="5" t="s">
        <v>44</v>
      </c>
      <c r="Y33" s="5" t="s">
        <v>44</v>
      </c>
      <c r="AB33" s="9" t="s">
        <v>44</v>
      </c>
      <c r="AC33" s="2" t="s">
        <v>46</v>
      </c>
      <c r="AD33" s="2">
        <v>0</v>
      </c>
      <c r="AE33" s="2" t="s">
        <v>49</v>
      </c>
      <c r="AF33" s="2" t="s">
        <v>85</v>
      </c>
      <c r="AG33" s="5">
        <v>1</v>
      </c>
      <c r="AH33" s="5" t="s">
        <v>36</v>
      </c>
      <c r="AI33" s="5" t="s">
        <v>86</v>
      </c>
      <c r="AJ33" s="5">
        <v>21</v>
      </c>
      <c r="AK33" s="5" t="s">
        <v>35</v>
      </c>
    </row>
    <row r="34" spans="1:37" x14ac:dyDescent="0.3">
      <c r="A34" s="5">
        <v>36</v>
      </c>
      <c r="B34" s="5" t="s">
        <v>39</v>
      </c>
      <c r="C34" s="5">
        <v>25</v>
      </c>
      <c r="D34" s="2">
        <v>3</v>
      </c>
      <c r="E34" s="5">
        <v>180</v>
      </c>
      <c r="F34" s="5">
        <v>78</v>
      </c>
      <c r="G34" s="6">
        <v>24.074074074074076</v>
      </c>
      <c r="H34" s="9" t="s">
        <v>33</v>
      </c>
      <c r="I34" s="2">
        <v>34</v>
      </c>
      <c r="J34" s="5" t="s">
        <v>44</v>
      </c>
      <c r="K34" s="5" t="s">
        <v>44</v>
      </c>
      <c r="L34" s="5" t="s">
        <v>44</v>
      </c>
      <c r="M34" s="5" t="s">
        <v>44</v>
      </c>
      <c r="N34" s="5">
        <v>39.799999999999997</v>
      </c>
      <c r="O34" s="5">
        <v>32.4</v>
      </c>
      <c r="P34" s="5">
        <v>1.18</v>
      </c>
      <c r="Q34" s="5">
        <v>0.19</v>
      </c>
      <c r="R34" s="5">
        <v>0.99</v>
      </c>
      <c r="S34" s="8">
        <v>0.81407035175879394</v>
      </c>
      <c r="T34" s="5" t="s">
        <v>44</v>
      </c>
      <c r="Y34" s="5" t="s">
        <v>44</v>
      </c>
      <c r="AB34" s="9" t="s">
        <v>44</v>
      </c>
      <c r="AC34" s="2" t="s">
        <v>47</v>
      </c>
      <c r="AD34" s="2">
        <v>0</v>
      </c>
      <c r="AE34" s="2" t="s">
        <v>50</v>
      </c>
      <c r="AF34" s="2" t="s">
        <v>33</v>
      </c>
      <c r="AG34" s="5">
        <v>0</v>
      </c>
      <c r="AH34" s="5" t="s">
        <v>33</v>
      </c>
      <c r="AI34" s="5" t="s">
        <v>33</v>
      </c>
      <c r="AJ34" s="5">
        <v>10</v>
      </c>
      <c r="AK34" s="5" t="s">
        <v>34</v>
      </c>
    </row>
    <row r="35" spans="1:37" ht="28.8" x14ac:dyDescent="0.3">
      <c r="A35" s="5">
        <v>37</v>
      </c>
      <c r="B35" s="5" t="s">
        <v>39</v>
      </c>
      <c r="C35" s="5">
        <v>53</v>
      </c>
      <c r="D35" s="2">
        <v>33</v>
      </c>
      <c r="E35" s="5">
        <v>165</v>
      </c>
      <c r="F35" s="5">
        <v>69.7</v>
      </c>
      <c r="G35" s="6">
        <v>25.601469237832873</v>
      </c>
      <c r="H35" s="9" t="s">
        <v>42</v>
      </c>
      <c r="I35" s="2">
        <v>32</v>
      </c>
      <c r="J35" s="5" t="s">
        <v>44</v>
      </c>
      <c r="K35" s="5" t="s">
        <v>45</v>
      </c>
      <c r="L35" s="5" t="s">
        <v>44</v>
      </c>
      <c r="M35" s="5" t="s">
        <v>44</v>
      </c>
      <c r="N35" s="5">
        <v>13.1</v>
      </c>
      <c r="O35" s="5">
        <v>31.6</v>
      </c>
      <c r="P35" s="5">
        <v>0.18</v>
      </c>
      <c r="Q35" s="5">
        <v>0.02</v>
      </c>
      <c r="R35" s="5">
        <v>0.16</v>
      </c>
      <c r="S35" s="8">
        <v>2.4122137404580153</v>
      </c>
      <c r="T35" s="5" t="s">
        <v>45</v>
      </c>
      <c r="U35" s="5" t="s">
        <v>57</v>
      </c>
      <c r="V35" s="5" t="s">
        <v>62</v>
      </c>
      <c r="W35" s="5" t="s">
        <v>65</v>
      </c>
      <c r="X35" s="5" t="s">
        <v>68</v>
      </c>
      <c r="Y35" s="5" t="s">
        <v>44</v>
      </c>
      <c r="AB35" s="9" t="s">
        <v>44</v>
      </c>
      <c r="AC35" s="2" t="s">
        <v>46</v>
      </c>
      <c r="AD35" s="2">
        <v>0</v>
      </c>
      <c r="AE35" s="2" t="s">
        <v>48</v>
      </c>
      <c r="AF35" s="2" t="s">
        <v>33</v>
      </c>
      <c r="AG35" s="5">
        <v>0</v>
      </c>
      <c r="AH35" s="5" t="s">
        <v>33</v>
      </c>
      <c r="AI35" s="5" t="s">
        <v>33</v>
      </c>
      <c r="AJ35" s="5">
        <v>34</v>
      </c>
      <c r="AK35" s="5" t="s">
        <v>35</v>
      </c>
    </row>
    <row r="36" spans="1:37" ht="72" x14ac:dyDescent="0.3">
      <c r="A36" s="5">
        <v>38</v>
      </c>
      <c r="B36" s="5" t="s">
        <v>39</v>
      </c>
      <c r="C36" s="5">
        <v>55</v>
      </c>
      <c r="D36" s="2">
        <v>32</v>
      </c>
      <c r="E36" s="5">
        <v>159</v>
      </c>
      <c r="F36" s="5">
        <v>76</v>
      </c>
      <c r="G36" s="6">
        <v>30.062101973814329</v>
      </c>
      <c r="H36" s="9" t="s">
        <v>41</v>
      </c>
      <c r="I36" s="2">
        <v>34</v>
      </c>
      <c r="J36" s="5" t="s">
        <v>44</v>
      </c>
      <c r="K36" s="5" t="s">
        <v>44</v>
      </c>
      <c r="L36" s="5" t="s">
        <v>44</v>
      </c>
      <c r="M36" s="5" t="s">
        <v>45</v>
      </c>
      <c r="N36" s="5">
        <v>18.899999999999999</v>
      </c>
      <c r="O36" s="5">
        <v>30.7</v>
      </c>
      <c r="P36" s="5">
        <v>0.61</v>
      </c>
      <c r="Q36" s="5">
        <v>0.13</v>
      </c>
      <c r="R36" s="5">
        <v>0.48</v>
      </c>
      <c r="S36" s="8">
        <v>1.6243386243386244</v>
      </c>
      <c r="T36" s="5" t="s">
        <v>45</v>
      </c>
      <c r="U36" s="5" t="s">
        <v>57</v>
      </c>
      <c r="V36" s="5" t="s">
        <v>62</v>
      </c>
      <c r="W36" s="5" t="s">
        <v>65</v>
      </c>
      <c r="X36" s="5" t="s">
        <v>69</v>
      </c>
      <c r="Y36" s="5" t="s">
        <v>45</v>
      </c>
      <c r="Z36" s="5" t="s">
        <v>75</v>
      </c>
      <c r="AA36" s="5" t="s">
        <v>82</v>
      </c>
      <c r="AB36" s="9" t="s">
        <v>44</v>
      </c>
      <c r="AC36" s="2" t="s">
        <v>46</v>
      </c>
      <c r="AD36" s="2">
        <v>0</v>
      </c>
      <c r="AE36" s="2" t="s">
        <v>49</v>
      </c>
      <c r="AF36" s="2" t="s">
        <v>33</v>
      </c>
      <c r="AG36" s="5">
        <v>0</v>
      </c>
      <c r="AH36" s="5" t="s">
        <v>33</v>
      </c>
      <c r="AI36" s="5" t="s">
        <v>33</v>
      </c>
      <c r="AJ36" s="5">
        <v>43</v>
      </c>
      <c r="AK36" s="5" t="s">
        <v>38</v>
      </c>
    </row>
    <row r="37" spans="1:37" x14ac:dyDescent="0.3">
      <c r="A37" s="5">
        <v>39</v>
      </c>
      <c r="B37" s="5" t="s">
        <v>39</v>
      </c>
      <c r="C37" s="5">
        <v>22</v>
      </c>
      <c r="D37" s="2">
        <v>1</v>
      </c>
      <c r="E37" s="5">
        <v>175</v>
      </c>
      <c r="F37" s="5">
        <v>76</v>
      </c>
      <c r="G37" s="6">
        <v>24.816326530612244</v>
      </c>
      <c r="H37" s="9" t="s">
        <v>33</v>
      </c>
      <c r="I37" s="2">
        <v>36</v>
      </c>
      <c r="J37" s="5" t="s">
        <v>44</v>
      </c>
      <c r="K37" s="5" t="s">
        <v>44</v>
      </c>
      <c r="L37" s="5" t="s">
        <v>44</v>
      </c>
      <c r="M37" s="5" t="s">
        <v>44</v>
      </c>
      <c r="N37" s="5">
        <v>16.93</v>
      </c>
      <c r="O37" s="5">
        <v>22.2</v>
      </c>
      <c r="P37" s="5">
        <v>0.56000000000000005</v>
      </c>
      <c r="Q37" s="5">
        <v>0.1</v>
      </c>
      <c r="R37" s="5">
        <v>0.46</v>
      </c>
      <c r="S37" s="8">
        <v>1.3112817483756645</v>
      </c>
      <c r="T37" s="5" t="s">
        <v>44</v>
      </c>
      <c r="Y37" s="5" t="s">
        <v>44</v>
      </c>
      <c r="AB37" s="9" t="s">
        <v>44</v>
      </c>
      <c r="AC37" s="2" t="s">
        <v>47</v>
      </c>
      <c r="AD37" s="2">
        <v>0</v>
      </c>
      <c r="AE37" s="2" t="s">
        <v>48</v>
      </c>
      <c r="AF37" s="2" t="s">
        <v>33</v>
      </c>
      <c r="AG37" s="5">
        <v>0</v>
      </c>
      <c r="AH37" s="5" t="s">
        <v>33</v>
      </c>
      <c r="AI37" s="5" t="s">
        <v>33</v>
      </c>
      <c r="AJ37" s="5">
        <v>0</v>
      </c>
      <c r="AK37" s="5" t="s">
        <v>34</v>
      </c>
    </row>
    <row r="38" spans="1:37" ht="72" x14ac:dyDescent="0.3">
      <c r="A38" s="5">
        <v>40</v>
      </c>
      <c r="B38" s="5" t="s">
        <v>39</v>
      </c>
      <c r="C38" s="5">
        <v>56</v>
      </c>
      <c r="D38" s="2">
        <v>32</v>
      </c>
      <c r="E38" s="5">
        <v>171</v>
      </c>
      <c r="F38" s="5">
        <v>91</v>
      </c>
      <c r="G38" s="6">
        <v>31.120686707020962</v>
      </c>
      <c r="H38" s="9" t="s">
        <v>41</v>
      </c>
      <c r="I38" s="2">
        <v>40</v>
      </c>
      <c r="J38" s="5" t="s">
        <v>44</v>
      </c>
      <c r="K38" s="5" t="s">
        <v>44</v>
      </c>
      <c r="L38" s="5" t="s">
        <v>44</v>
      </c>
      <c r="M38" s="5" t="s">
        <v>44</v>
      </c>
      <c r="N38" s="5">
        <v>35.6</v>
      </c>
      <c r="O38" s="5">
        <v>36.4</v>
      </c>
      <c r="P38" s="5">
        <v>0.69</v>
      </c>
      <c r="Q38" s="5">
        <v>0.19</v>
      </c>
      <c r="R38" s="5">
        <v>0.5</v>
      </c>
      <c r="S38" s="8">
        <v>1.0224719101123594</v>
      </c>
      <c r="T38" s="5" t="s">
        <v>45</v>
      </c>
      <c r="U38" s="5" t="s">
        <v>58</v>
      </c>
      <c r="V38" s="5" t="s">
        <v>62</v>
      </c>
      <c r="W38" s="5" t="s">
        <v>65</v>
      </c>
      <c r="X38" s="5" t="s">
        <v>69</v>
      </c>
      <c r="Y38" s="5" t="s">
        <v>45</v>
      </c>
      <c r="Z38" s="5" t="s">
        <v>74</v>
      </c>
      <c r="AA38" s="5" t="s">
        <v>78</v>
      </c>
      <c r="AB38" s="9" t="s">
        <v>44</v>
      </c>
      <c r="AC38" s="2" t="s">
        <v>47</v>
      </c>
      <c r="AD38" s="2">
        <v>1</v>
      </c>
      <c r="AE38" s="2" t="s">
        <v>48</v>
      </c>
      <c r="AF38" s="2" t="s">
        <v>33</v>
      </c>
      <c r="AG38" s="5">
        <v>0</v>
      </c>
      <c r="AH38" s="5" t="s">
        <v>33</v>
      </c>
      <c r="AI38" s="5" t="s">
        <v>33</v>
      </c>
      <c r="AJ38" s="5">
        <v>42</v>
      </c>
      <c r="AK38" s="5" t="s">
        <v>38</v>
      </c>
    </row>
    <row r="39" spans="1:37" x14ac:dyDescent="0.3">
      <c r="A39" s="5">
        <v>41</v>
      </c>
      <c r="B39" s="5" t="s">
        <v>39</v>
      </c>
      <c r="C39" s="5">
        <v>28</v>
      </c>
      <c r="D39" s="2">
        <v>1</v>
      </c>
      <c r="E39" s="5">
        <v>163</v>
      </c>
      <c r="F39" s="5">
        <v>65</v>
      </c>
      <c r="G39" s="6">
        <v>24.464601603372348</v>
      </c>
      <c r="H39" s="9" t="s">
        <v>33</v>
      </c>
      <c r="I39" s="2">
        <v>30</v>
      </c>
      <c r="J39" s="5" t="s">
        <v>44</v>
      </c>
      <c r="K39" s="5" t="s">
        <v>44</v>
      </c>
      <c r="L39" s="5" t="s">
        <v>44</v>
      </c>
      <c r="M39" s="5" t="s">
        <v>44</v>
      </c>
      <c r="N39" s="5">
        <v>30.3</v>
      </c>
      <c r="O39" s="5">
        <v>51.3</v>
      </c>
      <c r="P39" s="5">
        <v>0.43</v>
      </c>
      <c r="Q39" s="5">
        <v>0.01</v>
      </c>
      <c r="R39" s="5">
        <v>0.42</v>
      </c>
      <c r="S39" s="8">
        <v>1.693069306930693</v>
      </c>
      <c r="T39" s="5" t="s">
        <v>45</v>
      </c>
      <c r="W39" s="5" t="s">
        <v>65</v>
      </c>
      <c r="X39" s="5" t="s">
        <v>67</v>
      </c>
      <c r="Y39" s="5" t="s">
        <v>44</v>
      </c>
      <c r="AB39" s="9" t="s">
        <v>44</v>
      </c>
      <c r="AC39" s="2" t="s">
        <v>46</v>
      </c>
      <c r="AD39" s="2">
        <v>0</v>
      </c>
      <c r="AE39" s="2" t="s">
        <v>48</v>
      </c>
      <c r="AF39" s="2" t="s">
        <v>85</v>
      </c>
      <c r="AG39" s="5">
        <v>1</v>
      </c>
      <c r="AH39" s="5" t="s">
        <v>88</v>
      </c>
      <c r="AI39" s="5" t="s">
        <v>88</v>
      </c>
      <c r="AJ39" s="5">
        <v>10</v>
      </c>
      <c r="AK39" s="5" t="s">
        <v>34</v>
      </c>
    </row>
    <row r="40" spans="1:37" x14ac:dyDescent="0.3">
      <c r="A40" s="5">
        <v>42</v>
      </c>
      <c r="B40" s="5" t="s">
        <v>40</v>
      </c>
      <c r="C40" s="5">
        <v>24</v>
      </c>
      <c r="D40" s="2">
        <v>3</v>
      </c>
      <c r="E40" s="5">
        <v>142</v>
      </c>
      <c r="F40" s="5">
        <v>40</v>
      </c>
      <c r="G40" s="6">
        <v>19.837333862328904</v>
      </c>
      <c r="H40" s="9" t="s">
        <v>33</v>
      </c>
      <c r="I40" s="2">
        <v>28</v>
      </c>
      <c r="J40" s="5" t="s">
        <v>44</v>
      </c>
      <c r="K40" s="5" t="s">
        <v>44</v>
      </c>
      <c r="L40" s="5" t="s">
        <v>45</v>
      </c>
      <c r="M40" s="5" t="s">
        <v>44</v>
      </c>
      <c r="N40" s="5">
        <v>7.36</v>
      </c>
      <c r="O40" s="5">
        <v>20.96</v>
      </c>
      <c r="P40" s="5">
        <v>0.27</v>
      </c>
      <c r="Q40" s="5">
        <v>0.04</v>
      </c>
      <c r="R40" s="5">
        <v>0.23</v>
      </c>
      <c r="S40" s="8">
        <v>2.847826086956522</v>
      </c>
      <c r="T40" s="5" t="s">
        <v>44</v>
      </c>
      <c r="Y40" s="5" t="s">
        <v>44</v>
      </c>
      <c r="AB40" s="9" t="s">
        <v>44</v>
      </c>
      <c r="AC40" s="2" t="s">
        <v>46</v>
      </c>
      <c r="AD40" s="2">
        <v>0</v>
      </c>
      <c r="AE40" s="2" t="s">
        <v>50</v>
      </c>
      <c r="AF40" s="2" t="s">
        <v>33</v>
      </c>
      <c r="AG40" s="5">
        <v>0</v>
      </c>
      <c r="AH40" s="5" t="s">
        <v>33</v>
      </c>
      <c r="AI40" s="5" t="s">
        <v>33</v>
      </c>
      <c r="AJ40" s="5">
        <v>13</v>
      </c>
      <c r="AK40" s="5" t="s">
        <v>34</v>
      </c>
    </row>
    <row r="41" spans="1:37" x14ac:dyDescent="0.3">
      <c r="A41" s="5">
        <v>44</v>
      </c>
      <c r="B41" s="5" t="s">
        <v>40</v>
      </c>
      <c r="C41" s="5">
        <v>25</v>
      </c>
      <c r="D41" s="2">
        <v>1</v>
      </c>
      <c r="E41" s="5">
        <v>154</v>
      </c>
      <c r="F41" s="5">
        <v>53</v>
      </c>
      <c r="G41" s="6">
        <v>22.347782088041829</v>
      </c>
      <c r="H41" s="9" t="s">
        <v>33</v>
      </c>
      <c r="I41" s="2">
        <v>34</v>
      </c>
      <c r="J41" s="5" t="s">
        <v>44</v>
      </c>
      <c r="K41" s="5" t="s">
        <v>44</v>
      </c>
      <c r="L41" s="5" t="s">
        <v>44</v>
      </c>
      <c r="M41" s="5" t="s">
        <v>45</v>
      </c>
      <c r="N41" s="5">
        <v>10.77</v>
      </c>
      <c r="O41" s="5">
        <v>22.96</v>
      </c>
      <c r="P41" s="5">
        <v>0.3</v>
      </c>
      <c r="Q41" s="5">
        <v>0.06</v>
      </c>
      <c r="R41" s="5">
        <v>0.24</v>
      </c>
      <c r="S41" s="8">
        <v>2.1318477251624888</v>
      </c>
      <c r="T41" s="5" t="s">
        <v>44</v>
      </c>
      <c r="Y41" s="5" t="s">
        <v>44</v>
      </c>
      <c r="AB41" s="9" t="s">
        <v>44</v>
      </c>
      <c r="AC41" s="2" t="s">
        <v>46</v>
      </c>
      <c r="AD41" s="2">
        <v>0</v>
      </c>
      <c r="AE41" s="2" t="s">
        <v>50</v>
      </c>
      <c r="AF41" s="2" t="s">
        <v>33</v>
      </c>
      <c r="AG41" s="5">
        <v>0</v>
      </c>
      <c r="AH41" s="5" t="s">
        <v>33</v>
      </c>
      <c r="AI41" s="5" t="s">
        <v>33</v>
      </c>
      <c r="AJ41" s="5">
        <v>12</v>
      </c>
      <c r="AK41" s="5" t="s">
        <v>34</v>
      </c>
    </row>
    <row r="42" spans="1:37" x14ac:dyDescent="0.3">
      <c r="A42" s="5">
        <v>45</v>
      </c>
      <c r="B42" s="5" t="s">
        <v>40</v>
      </c>
      <c r="C42" s="5">
        <v>43</v>
      </c>
      <c r="D42" s="2">
        <v>15</v>
      </c>
      <c r="E42" s="5">
        <v>150</v>
      </c>
      <c r="F42" s="5">
        <v>41</v>
      </c>
      <c r="G42" s="6">
        <v>18.222222222222221</v>
      </c>
      <c r="H42" s="9" t="s">
        <v>43</v>
      </c>
      <c r="I42" s="2">
        <v>28</v>
      </c>
      <c r="J42" s="5" t="s">
        <v>44</v>
      </c>
      <c r="K42" s="5" t="s">
        <v>44</v>
      </c>
      <c r="L42" s="5" t="s">
        <v>44</v>
      </c>
      <c r="M42" s="5" t="s">
        <v>45</v>
      </c>
      <c r="N42" s="5">
        <v>14.8</v>
      </c>
      <c r="O42" s="5">
        <v>31.2</v>
      </c>
      <c r="P42" s="5">
        <v>0.3</v>
      </c>
      <c r="Q42" s="5">
        <v>0.05</v>
      </c>
      <c r="R42" s="5">
        <v>0.25</v>
      </c>
      <c r="S42" s="8">
        <v>2.1081081081081079</v>
      </c>
      <c r="T42" s="5" t="s">
        <v>44</v>
      </c>
      <c r="Y42" s="5" t="s">
        <v>44</v>
      </c>
      <c r="AB42" s="9" t="s">
        <v>45</v>
      </c>
      <c r="AC42" s="2" t="s">
        <v>46</v>
      </c>
      <c r="AD42" s="2">
        <v>0</v>
      </c>
      <c r="AE42" s="2" t="s">
        <v>50</v>
      </c>
      <c r="AF42" s="2" t="s">
        <v>33</v>
      </c>
      <c r="AG42" s="5">
        <v>0</v>
      </c>
      <c r="AH42" s="5" t="s">
        <v>33</v>
      </c>
      <c r="AI42" s="5" t="s">
        <v>33</v>
      </c>
      <c r="AJ42" s="5">
        <v>13</v>
      </c>
      <c r="AK42" s="5" t="s">
        <v>34</v>
      </c>
    </row>
    <row r="43" spans="1:37" x14ac:dyDescent="0.3">
      <c r="A43" s="5">
        <v>46</v>
      </c>
      <c r="B43" s="5" t="s">
        <v>39</v>
      </c>
      <c r="C43" s="5">
        <v>28</v>
      </c>
      <c r="D43" s="2">
        <v>4</v>
      </c>
      <c r="E43" s="5">
        <v>168</v>
      </c>
      <c r="F43" s="5">
        <v>65</v>
      </c>
      <c r="G43" s="6">
        <v>23.03004535147392</v>
      </c>
      <c r="H43" s="9" t="s">
        <v>33</v>
      </c>
      <c r="I43" s="2">
        <v>32</v>
      </c>
      <c r="J43" s="5" t="s">
        <v>44</v>
      </c>
      <c r="K43" s="5" t="s">
        <v>44</v>
      </c>
      <c r="L43" s="5" t="s">
        <v>44</v>
      </c>
      <c r="M43" s="5" t="s">
        <v>44</v>
      </c>
      <c r="N43" s="5">
        <v>16.5</v>
      </c>
      <c r="O43" s="5">
        <v>21</v>
      </c>
      <c r="P43" s="5">
        <v>0.74</v>
      </c>
      <c r="Q43" s="5">
        <v>0.15</v>
      </c>
      <c r="R43" s="5">
        <v>0.59</v>
      </c>
      <c r="S43" s="8">
        <v>1.2727272727272727</v>
      </c>
      <c r="T43" s="5" t="s">
        <v>44</v>
      </c>
      <c r="Y43" s="5" t="s">
        <v>44</v>
      </c>
      <c r="AB43" s="9" t="s">
        <v>44</v>
      </c>
      <c r="AC43" s="2" t="s">
        <v>46</v>
      </c>
      <c r="AD43" s="2">
        <v>0</v>
      </c>
      <c r="AE43" s="2" t="s">
        <v>50</v>
      </c>
      <c r="AF43" s="2" t="s">
        <v>33</v>
      </c>
      <c r="AG43" s="5">
        <v>0</v>
      </c>
      <c r="AH43" s="5" t="s">
        <v>33</v>
      </c>
      <c r="AI43" s="5" t="s">
        <v>33</v>
      </c>
      <c r="AJ43" s="5">
        <v>11</v>
      </c>
      <c r="AK43" s="5" t="s">
        <v>34</v>
      </c>
    </row>
    <row r="44" spans="1:37" x14ac:dyDescent="0.3">
      <c r="A44" s="5">
        <v>47</v>
      </c>
      <c r="B44" s="5" t="s">
        <v>40</v>
      </c>
      <c r="C44" s="5">
        <v>48</v>
      </c>
      <c r="D44" s="2">
        <v>20</v>
      </c>
      <c r="E44" s="5">
        <v>150</v>
      </c>
      <c r="F44" s="5">
        <v>73</v>
      </c>
      <c r="G44" s="6">
        <v>32.444444444444443</v>
      </c>
      <c r="H44" s="9" t="s">
        <v>41</v>
      </c>
      <c r="I44" s="2">
        <v>42</v>
      </c>
      <c r="J44" s="5" t="s">
        <v>44</v>
      </c>
      <c r="K44" s="5" t="s">
        <v>44</v>
      </c>
      <c r="L44" s="5" t="s">
        <v>44</v>
      </c>
      <c r="M44" s="5" t="s">
        <v>44</v>
      </c>
      <c r="N44" s="5">
        <v>27.1</v>
      </c>
      <c r="O44" s="5">
        <v>45</v>
      </c>
      <c r="P44" s="5">
        <v>0.44</v>
      </c>
      <c r="Q44" s="5">
        <v>0.17</v>
      </c>
      <c r="R44" s="5">
        <v>0.27</v>
      </c>
      <c r="S44" s="8">
        <v>1.6605166051660516</v>
      </c>
      <c r="T44" s="5" t="s">
        <v>44</v>
      </c>
      <c r="Y44" s="5" t="s">
        <v>44</v>
      </c>
      <c r="AB44" s="9" t="s">
        <v>44</v>
      </c>
      <c r="AC44" s="2" t="s">
        <v>46</v>
      </c>
      <c r="AD44" s="2">
        <v>1</v>
      </c>
      <c r="AE44" s="2" t="s">
        <v>50</v>
      </c>
      <c r="AF44" s="2" t="s">
        <v>85</v>
      </c>
      <c r="AG44" s="5">
        <v>1</v>
      </c>
      <c r="AH44" s="5" t="s">
        <v>37</v>
      </c>
      <c r="AI44" s="5" t="s">
        <v>37</v>
      </c>
      <c r="AJ44" s="5">
        <v>33</v>
      </c>
      <c r="AK44" s="5" t="s">
        <v>35</v>
      </c>
    </row>
    <row r="45" spans="1:37" ht="72" x14ac:dyDescent="0.3">
      <c r="A45" s="5">
        <v>48</v>
      </c>
      <c r="B45" s="5" t="s">
        <v>39</v>
      </c>
      <c r="C45" s="5">
        <v>30</v>
      </c>
      <c r="D45" s="2">
        <v>10</v>
      </c>
      <c r="E45" s="5">
        <v>160</v>
      </c>
      <c r="F45" s="5">
        <v>70</v>
      </c>
      <c r="G45" s="6">
        <v>27.3</v>
      </c>
      <c r="H45" s="9" t="s">
        <v>42</v>
      </c>
      <c r="I45" s="2">
        <v>32</v>
      </c>
      <c r="J45" s="5" t="s">
        <v>44</v>
      </c>
      <c r="K45" s="5" t="s">
        <v>44</v>
      </c>
      <c r="L45" s="5" t="s">
        <v>44</v>
      </c>
      <c r="M45" s="5" t="s">
        <v>44</v>
      </c>
      <c r="N45" s="5">
        <v>38.9</v>
      </c>
      <c r="O45" s="5">
        <v>32.799999999999997</v>
      </c>
      <c r="P45" s="5">
        <v>1.02</v>
      </c>
      <c r="Q45" s="5">
        <v>0.26</v>
      </c>
      <c r="R45" s="5">
        <v>0.76</v>
      </c>
      <c r="S45" s="8">
        <v>0.84318766066838047</v>
      </c>
      <c r="T45" s="5" t="s">
        <v>45</v>
      </c>
      <c r="U45" s="5" t="s">
        <v>57</v>
      </c>
      <c r="V45" s="5" t="s">
        <v>61</v>
      </c>
      <c r="W45" s="5" t="s">
        <v>64</v>
      </c>
      <c r="X45" s="5" t="s">
        <v>69</v>
      </c>
      <c r="Y45" s="5" t="s">
        <v>44</v>
      </c>
      <c r="AA45" s="5" t="s">
        <v>81</v>
      </c>
      <c r="AB45" s="9" t="s">
        <v>44</v>
      </c>
      <c r="AC45" s="2" t="s">
        <v>46</v>
      </c>
      <c r="AD45" s="2">
        <v>0</v>
      </c>
      <c r="AE45" s="2" t="s">
        <v>49</v>
      </c>
      <c r="AF45" s="2" t="s">
        <v>33</v>
      </c>
      <c r="AG45" s="5">
        <v>0</v>
      </c>
      <c r="AH45" s="5" t="s">
        <v>33</v>
      </c>
      <c r="AI45" s="5" t="s">
        <v>33</v>
      </c>
      <c r="AJ45" s="5">
        <v>24</v>
      </c>
      <c r="AK45" s="5" t="s">
        <v>35</v>
      </c>
    </row>
    <row r="46" spans="1:37" x14ac:dyDescent="0.3">
      <c r="A46" s="5">
        <v>49</v>
      </c>
      <c r="B46" s="5" t="s">
        <v>39</v>
      </c>
      <c r="C46" s="5">
        <v>28</v>
      </c>
      <c r="D46" s="2">
        <v>1</v>
      </c>
      <c r="E46" s="5">
        <v>168</v>
      </c>
      <c r="F46" s="5">
        <v>76</v>
      </c>
      <c r="G46" s="6">
        <v>26.927437641723358</v>
      </c>
      <c r="H46" s="9" t="s">
        <v>42</v>
      </c>
      <c r="I46" s="2">
        <v>34</v>
      </c>
      <c r="J46" s="5" t="s">
        <v>44</v>
      </c>
      <c r="K46" s="5" t="s">
        <v>44</v>
      </c>
      <c r="L46" s="5" t="s">
        <v>44</v>
      </c>
      <c r="M46" s="5" t="s">
        <v>44</v>
      </c>
      <c r="N46" s="5">
        <v>36.5</v>
      </c>
      <c r="O46" s="5">
        <v>39.4</v>
      </c>
      <c r="P46" s="5">
        <v>0.2</v>
      </c>
      <c r="Q46" s="5">
        <v>0.1</v>
      </c>
      <c r="R46" s="5">
        <v>0.1</v>
      </c>
      <c r="S46" s="8">
        <v>1.0794520547945206</v>
      </c>
      <c r="T46" s="5" t="s">
        <v>44</v>
      </c>
      <c r="Y46" s="5" t="s">
        <v>44</v>
      </c>
      <c r="AB46" s="9" t="s">
        <v>44</v>
      </c>
      <c r="AC46" s="2" t="s">
        <v>46</v>
      </c>
      <c r="AD46" s="2">
        <v>0</v>
      </c>
      <c r="AE46" s="2" t="s">
        <v>52</v>
      </c>
      <c r="AF46" s="2" t="s">
        <v>33</v>
      </c>
      <c r="AG46" s="5">
        <v>0</v>
      </c>
      <c r="AH46" s="5" t="s">
        <v>33</v>
      </c>
      <c r="AI46" s="5" t="s">
        <v>33</v>
      </c>
      <c r="AJ46" s="5">
        <v>11</v>
      </c>
      <c r="AK46" s="5" t="s">
        <v>34</v>
      </c>
    </row>
    <row r="47" spans="1:37" x14ac:dyDescent="0.3">
      <c r="A47" s="5">
        <v>50</v>
      </c>
      <c r="B47" s="5" t="s">
        <v>40</v>
      </c>
      <c r="C47" s="5">
        <v>27</v>
      </c>
      <c r="D47" s="2">
        <v>1</v>
      </c>
      <c r="E47" s="5">
        <v>150</v>
      </c>
      <c r="F47" s="5">
        <v>47</v>
      </c>
      <c r="G47" s="6">
        <v>20.888888888888889</v>
      </c>
      <c r="H47" s="9" t="s">
        <v>33</v>
      </c>
      <c r="I47" s="2">
        <v>30</v>
      </c>
      <c r="J47" s="5" t="s">
        <v>44</v>
      </c>
      <c r="K47" s="5" t="s">
        <v>44</v>
      </c>
      <c r="L47" s="5" t="s">
        <v>44</v>
      </c>
      <c r="M47" s="5" t="s">
        <v>44</v>
      </c>
      <c r="N47" s="5">
        <v>20.43</v>
      </c>
      <c r="O47" s="5">
        <v>20.010000000000002</v>
      </c>
      <c r="P47" s="5">
        <v>1.03</v>
      </c>
      <c r="Q47" s="5">
        <v>0.23</v>
      </c>
      <c r="R47" s="5">
        <v>0.8</v>
      </c>
      <c r="S47" s="8">
        <v>0.9794419970631425</v>
      </c>
      <c r="T47" s="5" t="s">
        <v>44</v>
      </c>
      <c r="Y47" s="5" t="s">
        <v>44</v>
      </c>
      <c r="AB47" s="9" t="s">
        <v>44</v>
      </c>
      <c r="AC47" s="2" t="s">
        <v>47</v>
      </c>
      <c r="AD47" s="2">
        <v>1</v>
      </c>
      <c r="AE47" s="2" t="s">
        <v>49</v>
      </c>
      <c r="AF47" s="2" t="s">
        <v>33</v>
      </c>
      <c r="AG47" s="5">
        <v>0</v>
      </c>
      <c r="AH47" s="5" t="s">
        <v>33</v>
      </c>
      <c r="AI47" s="5" t="s">
        <v>33</v>
      </c>
      <c r="AJ47" s="5">
        <v>6</v>
      </c>
      <c r="AK47" s="5" t="s">
        <v>34</v>
      </c>
    </row>
    <row r="48" spans="1:37" x14ac:dyDescent="0.3">
      <c r="A48" s="5">
        <v>51</v>
      </c>
      <c r="B48" s="5" t="s">
        <v>40</v>
      </c>
      <c r="C48" s="5">
        <v>28</v>
      </c>
      <c r="D48" s="2">
        <v>1</v>
      </c>
      <c r="E48" s="5">
        <v>153</v>
      </c>
      <c r="F48" s="5">
        <v>53</v>
      </c>
      <c r="G48" s="6">
        <v>22.640864624716986</v>
      </c>
      <c r="H48" s="9" t="s">
        <v>33</v>
      </c>
      <c r="I48" s="2">
        <v>30</v>
      </c>
      <c r="J48" s="5" t="s">
        <v>44</v>
      </c>
      <c r="K48" s="5" t="s">
        <v>44</v>
      </c>
      <c r="L48" s="5" t="s">
        <v>44</v>
      </c>
      <c r="M48" s="5" t="s">
        <v>45</v>
      </c>
      <c r="N48" s="5">
        <v>15.5</v>
      </c>
      <c r="O48" s="5">
        <v>23.4</v>
      </c>
      <c r="P48" s="5">
        <v>0.18</v>
      </c>
      <c r="Q48" s="5">
        <v>0.06</v>
      </c>
      <c r="R48" s="5">
        <v>0.12</v>
      </c>
      <c r="S48" s="8">
        <v>1.5096774193548386</v>
      </c>
      <c r="T48" s="5" t="s">
        <v>44</v>
      </c>
      <c r="Y48" s="5" t="s">
        <v>44</v>
      </c>
      <c r="AB48" s="9" t="s">
        <v>44</v>
      </c>
      <c r="AC48" s="2" t="s">
        <v>46</v>
      </c>
      <c r="AD48" s="2">
        <v>0</v>
      </c>
      <c r="AE48" s="2" t="s">
        <v>49</v>
      </c>
      <c r="AF48" s="2" t="s">
        <v>33</v>
      </c>
      <c r="AG48" s="5">
        <v>0</v>
      </c>
      <c r="AH48" s="5" t="s">
        <v>33</v>
      </c>
      <c r="AI48" s="5" t="s">
        <v>33</v>
      </c>
      <c r="AJ48" s="5">
        <v>7</v>
      </c>
      <c r="AK48" s="5" t="s">
        <v>34</v>
      </c>
    </row>
    <row r="49" spans="1:37" ht="43.2" x14ac:dyDescent="0.3">
      <c r="A49" s="5">
        <v>52</v>
      </c>
      <c r="B49" s="5" t="s">
        <v>39</v>
      </c>
      <c r="C49" s="5">
        <v>29</v>
      </c>
      <c r="D49" s="2">
        <v>8</v>
      </c>
      <c r="E49" s="5">
        <v>165</v>
      </c>
      <c r="F49" s="5">
        <v>45</v>
      </c>
      <c r="G49" s="6">
        <v>16.528925619834709</v>
      </c>
      <c r="H49" s="9" t="s">
        <v>43</v>
      </c>
      <c r="I49" s="2">
        <v>28</v>
      </c>
      <c r="J49" s="5" t="s">
        <v>44</v>
      </c>
      <c r="K49" s="5" t="s">
        <v>44</v>
      </c>
      <c r="L49" s="5" t="s">
        <v>44</v>
      </c>
      <c r="M49" s="5" t="s">
        <v>44</v>
      </c>
      <c r="N49" s="5">
        <v>38.08</v>
      </c>
      <c r="O49" s="5">
        <v>45.09</v>
      </c>
      <c r="P49" s="5">
        <v>0.5</v>
      </c>
      <c r="Q49" s="5">
        <v>0.09</v>
      </c>
      <c r="R49" s="5">
        <v>0.41</v>
      </c>
      <c r="S49" s="8">
        <v>1.1840861344537816</v>
      </c>
      <c r="T49" s="5" t="s">
        <v>45</v>
      </c>
      <c r="V49" s="5" t="s">
        <v>61</v>
      </c>
      <c r="X49" s="5" t="s">
        <v>67</v>
      </c>
      <c r="Y49" s="5" t="s">
        <v>45</v>
      </c>
      <c r="Z49" s="5" t="s">
        <v>75</v>
      </c>
      <c r="AA49" s="5" t="s">
        <v>78</v>
      </c>
      <c r="AB49" s="9" t="s">
        <v>44</v>
      </c>
      <c r="AC49" s="2" t="s">
        <v>46</v>
      </c>
      <c r="AD49" s="2">
        <v>0</v>
      </c>
      <c r="AE49" s="2" t="s">
        <v>49</v>
      </c>
      <c r="AF49" s="2" t="s">
        <v>85</v>
      </c>
      <c r="AG49" s="5">
        <v>1</v>
      </c>
      <c r="AH49" s="5" t="s">
        <v>88</v>
      </c>
      <c r="AI49" s="5" t="s">
        <v>88</v>
      </c>
      <c r="AJ49" s="5">
        <v>15</v>
      </c>
      <c r="AK49" s="5" t="s">
        <v>34</v>
      </c>
    </row>
    <row r="50" spans="1:37" ht="43.2" x14ac:dyDescent="0.3">
      <c r="A50" s="5">
        <v>53</v>
      </c>
      <c r="B50" s="5" t="s">
        <v>39</v>
      </c>
      <c r="C50" s="5">
        <v>46</v>
      </c>
      <c r="D50" s="2">
        <v>28</v>
      </c>
      <c r="E50" s="5">
        <v>167</v>
      </c>
      <c r="F50" s="5">
        <v>76</v>
      </c>
      <c r="G50" s="6">
        <v>27.250887446663558</v>
      </c>
      <c r="H50" s="9" t="s">
        <v>42</v>
      </c>
      <c r="I50" s="2">
        <v>32</v>
      </c>
      <c r="J50" s="5" t="s">
        <v>44</v>
      </c>
      <c r="K50" s="5" t="s">
        <v>44</v>
      </c>
      <c r="L50" s="5" t="s">
        <v>44</v>
      </c>
      <c r="M50" s="5" t="s">
        <v>44</v>
      </c>
      <c r="N50" s="5">
        <v>36.159999999999997</v>
      </c>
      <c r="O50" s="5">
        <v>56.54</v>
      </c>
      <c r="P50" s="5">
        <v>0.3</v>
      </c>
      <c r="Q50" s="5">
        <v>7.0000000000000007E-2</v>
      </c>
      <c r="R50" s="5">
        <v>0.23</v>
      </c>
      <c r="S50" s="8">
        <v>1.5636061946902655</v>
      </c>
      <c r="T50" s="5" t="s">
        <v>45</v>
      </c>
      <c r="U50" s="5" t="s">
        <v>55</v>
      </c>
      <c r="V50" s="5" t="s">
        <v>63</v>
      </c>
      <c r="W50" s="5" t="s">
        <v>64</v>
      </c>
      <c r="X50" s="5" t="s">
        <v>67</v>
      </c>
      <c r="Y50" s="5" t="s">
        <v>45</v>
      </c>
      <c r="Z50" s="5" t="s">
        <v>76</v>
      </c>
      <c r="AA50" s="5" t="s">
        <v>79</v>
      </c>
      <c r="AB50" s="9" t="s">
        <v>44</v>
      </c>
      <c r="AC50" s="2" t="s">
        <v>46</v>
      </c>
      <c r="AD50" s="2">
        <v>1</v>
      </c>
      <c r="AE50" s="2" t="s">
        <v>48</v>
      </c>
      <c r="AF50" s="2" t="s">
        <v>85</v>
      </c>
      <c r="AG50" s="5">
        <v>1</v>
      </c>
      <c r="AH50" s="5" t="s">
        <v>88</v>
      </c>
      <c r="AI50" s="5" t="s">
        <v>88</v>
      </c>
      <c r="AJ50" s="5">
        <v>37</v>
      </c>
      <c r="AK50" s="5" t="s">
        <v>35</v>
      </c>
    </row>
    <row r="51" spans="1:37" ht="72" x14ac:dyDescent="0.3">
      <c r="A51" s="5">
        <v>54</v>
      </c>
      <c r="B51" s="5" t="s">
        <v>39</v>
      </c>
      <c r="C51" s="5">
        <v>38</v>
      </c>
      <c r="D51" s="2">
        <v>17</v>
      </c>
      <c r="E51" s="5">
        <v>165</v>
      </c>
      <c r="F51" s="5">
        <v>102</v>
      </c>
      <c r="G51" s="6">
        <v>37.5</v>
      </c>
      <c r="H51" s="9" t="s">
        <v>41</v>
      </c>
      <c r="I51" s="2">
        <v>38</v>
      </c>
      <c r="J51" s="5" t="s">
        <v>44</v>
      </c>
      <c r="K51" s="5" t="s">
        <v>45</v>
      </c>
      <c r="L51" s="5" t="s">
        <v>44</v>
      </c>
      <c r="M51" s="5" t="s">
        <v>44</v>
      </c>
      <c r="N51" s="5">
        <v>26.5</v>
      </c>
      <c r="O51" s="5">
        <v>25.8</v>
      </c>
      <c r="P51" s="5">
        <v>0.32</v>
      </c>
      <c r="Q51" s="5">
        <v>7.0000000000000007E-2</v>
      </c>
      <c r="R51" s="5">
        <v>0.25</v>
      </c>
      <c r="S51" s="8">
        <v>0.97358490566037736</v>
      </c>
      <c r="T51" s="5" t="s">
        <v>45</v>
      </c>
      <c r="U51" s="5" t="s">
        <v>56</v>
      </c>
      <c r="W51" s="5" t="s">
        <v>65</v>
      </c>
      <c r="X51" s="5" t="s">
        <v>69</v>
      </c>
      <c r="Y51" s="5" t="s">
        <v>45</v>
      </c>
      <c r="Z51" s="5" t="s">
        <v>74</v>
      </c>
      <c r="AA51" s="5" t="s">
        <v>82</v>
      </c>
      <c r="AB51" s="9" t="s">
        <v>44</v>
      </c>
      <c r="AC51" s="2" t="s">
        <v>47</v>
      </c>
      <c r="AD51" s="2">
        <v>0</v>
      </c>
      <c r="AE51" s="2" t="s">
        <v>52</v>
      </c>
      <c r="AF51" s="2" t="s">
        <v>33</v>
      </c>
      <c r="AG51" s="5">
        <v>0</v>
      </c>
      <c r="AH51" s="5" t="s">
        <v>33</v>
      </c>
      <c r="AI51" s="5" t="s">
        <v>33</v>
      </c>
      <c r="AJ51" s="5">
        <v>37</v>
      </c>
      <c r="AK51" s="5" t="s">
        <v>35</v>
      </c>
    </row>
    <row r="52" spans="1:37" x14ac:dyDescent="0.3">
      <c r="A52" s="5">
        <v>55</v>
      </c>
      <c r="B52" s="5" t="s">
        <v>39</v>
      </c>
      <c r="C52" s="5">
        <v>63</v>
      </c>
      <c r="D52" s="2">
        <v>30</v>
      </c>
      <c r="E52" s="5">
        <v>160</v>
      </c>
      <c r="F52" s="5">
        <v>68</v>
      </c>
      <c r="G52" s="6">
        <v>26.562500000000004</v>
      </c>
      <c r="H52" s="9" t="s">
        <v>42</v>
      </c>
      <c r="I52" s="2">
        <v>32</v>
      </c>
      <c r="J52" s="5" t="s">
        <v>44</v>
      </c>
      <c r="K52" s="5" t="s">
        <v>45</v>
      </c>
      <c r="L52" s="5" t="s">
        <v>44</v>
      </c>
      <c r="M52" s="5" t="s">
        <v>45</v>
      </c>
      <c r="N52" s="5">
        <v>48.04</v>
      </c>
      <c r="O52" s="5">
        <v>40.130000000000003</v>
      </c>
      <c r="P52" s="5">
        <v>0.36</v>
      </c>
      <c r="Q52" s="5">
        <v>0.06</v>
      </c>
      <c r="R52" s="5">
        <v>0.3</v>
      </c>
      <c r="S52" s="8">
        <v>0.83534554537885097</v>
      </c>
      <c r="T52" s="5" t="s">
        <v>44</v>
      </c>
      <c r="Y52" s="5" t="s">
        <v>44</v>
      </c>
      <c r="AB52" s="9" t="s">
        <v>44</v>
      </c>
      <c r="AC52" s="2" t="s">
        <v>46</v>
      </c>
      <c r="AD52" s="2">
        <v>1</v>
      </c>
      <c r="AE52" s="2" t="s">
        <v>49</v>
      </c>
      <c r="AF52" s="2" t="s">
        <v>85</v>
      </c>
      <c r="AG52" s="5">
        <v>1</v>
      </c>
      <c r="AH52" s="5" t="s">
        <v>37</v>
      </c>
      <c r="AI52" s="5" t="s">
        <v>37</v>
      </c>
      <c r="AJ52" s="5">
        <v>32</v>
      </c>
      <c r="AK52" s="5" t="s">
        <v>35</v>
      </c>
    </row>
    <row r="53" spans="1:37" x14ac:dyDescent="0.3">
      <c r="A53" s="5">
        <v>56</v>
      </c>
      <c r="B53" s="5" t="s">
        <v>39</v>
      </c>
      <c r="C53" s="5">
        <v>35</v>
      </c>
      <c r="D53" s="2">
        <v>10</v>
      </c>
      <c r="E53" s="5">
        <v>173</v>
      </c>
      <c r="F53" s="5">
        <v>78</v>
      </c>
      <c r="G53" s="6">
        <v>26.061679307694877</v>
      </c>
      <c r="H53" s="9" t="s">
        <v>42</v>
      </c>
      <c r="I53" s="2">
        <v>34</v>
      </c>
      <c r="J53" s="5" t="s">
        <v>44</v>
      </c>
      <c r="K53" s="5" t="s">
        <v>44</v>
      </c>
      <c r="L53" s="5" t="s">
        <v>44</v>
      </c>
      <c r="M53" s="5" t="s">
        <v>44</v>
      </c>
      <c r="N53" s="5">
        <v>49.1</v>
      </c>
      <c r="O53" s="5">
        <v>32.799999999999997</v>
      </c>
      <c r="P53" s="5">
        <v>0.93</v>
      </c>
      <c r="Q53" s="5">
        <v>0.09</v>
      </c>
      <c r="R53" s="5">
        <v>0.84</v>
      </c>
      <c r="S53" s="8">
        <v>0.66802443991853355</v>
      </c>
      <c r="T53" s="5" t="s">
        <v>44</v>
      </c>
      <c r="Y53" s="5" t="s">
        <v>44</v>
      </c>
      <c r="AB53" s="9" t="s">
        <v>44</v>
      </c>
      <c r="AC53" s="2" t="s">
        <v>47</v>
      </c>
      <c r="AD53" s="2">
        <v>0</v>
      </c>
      <c r="AE53" s="2" t="s">
        <v>52</v>
      </c>
      <c r="AF53" s="2" t="s">
        <v>33</v>
      </c>
      <c r="AG53" s="5">
        <v>0</v>
      </c>
      <c r="AH53" s="5" t="s">
        <v>33</v>
      </c>
      <c r="AI53" s="5" t="s">
        <v>33</v>
      </c>
      <c r="AJ53" s="5">
        <v>14</v>
      </c>
      <c r="AK53" s="5" t="s">
        <v>34</v>
      </c>
    </row>
    <row r="54" spans="1:37" ht="86.4" x14ac:dyDescent="0.3">
      <c r="A54" s="5">
        <v>57</v>
      </c>
      <c r="B54" s="5" t="s">
        <v>39</v>
      </c>
      <c r="C54" s="5">
        <v>36</v>
      </c>
      <c r="D54" s="2">
        <v>13</v>
      </c>
      <c r="E54" s="5">
        <v>174</v>
      </c>
      <c r="F54" s="5">
        <v>76</v>
      </c>
      <c r="G54" s="6">
        <v>25.102391333069097</v>
      </c>
      <c r="H54" s="9" t="s">
        <v>42</v>
      </c>
      <c r="I54" s="2">
        <v>34</v>
      </c>
      <c r="J54" s="5" t="s">
        <v>44</v>
      </c>
      <c r="K54" s="5" t="s">
        <v>44</v>
      </c>
      <c r="L54" s="5" t="s">
        <v>44</v>
      </c>
      <c r="M54" s="5" t="s">
        <v>44</v>
      </c>
      <c r="N54" s="5">
        <v>69.599999999999994</v>
      </c>
      <c r="O54" s="5">
        <v>35.200000000000003</v>
      </c>
      <c r="P54" s="5">
        <v>0.31</v>
      </c>
      <c r="Q54" s="5">
        <v>0.08</v>
      </c>
      <c r="R54" s="5">
        <v>0.23</v>
      </c>
      <c r="S54" s="8">
        <v>0.50574712643678166</v>
      </c>
      <c r="T54" s="5" t="s">
        <v>45</v>
      </c>
      <c r="U54" s="5" t="s">
        <v>57</v>
      </c>
      <c r="V54" s="5" t="s">
        <v>60</v>
      </c>
      <c r="W54" s="5" t="s">
        <v>64</v>
      </c>
      <c r="X54" s="5" t="s">
        <v>70</v>
      </c>
      <c r="Y54" s="5" t="s">
        <v>45</v>
      </c>
      <c r="Z54" s="5" t="s">
        <v>75</v>
      </c>
      <c r="AA54" s="5" t="s">
        <v>78</v>
      </c>
      <c r="AB54" s="9" t="s">
        <v>44</v>
      </c>
      <c r="AC54" s="2" t="s">
        <v>46</v>
      </c>
      <c r="AD54" s="2">
        <v>0</v>
      </c>
      <c r="AE54" s="2" t="s">
        <v>52</v>
      </c>
      <c r="AF54" s="2" t="s">
        <v>85</v>
      </c>
      <c r="AG54" s="5">
        <v>1</v>
      </c>
      <c r="AH54" s="5" t="s">
        <v>37</v>
      </c>
      <c r="AI54" s="5" t="s">
        <v>37</v>
      </c>
      <c r="AJ54" s="5">
        <v>33</v>
      </c>
      <c r="AK54" s="5" t="s">
        <v>35</v>
      </c>
    </row>
    <row r="55" spans="1:37" x14ac:dyDescent="0.3">
      <c r="A55" s="5">
        <v>58</v>
      </c>
      <c r="B55" s="5" t="s">
        <v>39</v>
      </c>
      <c r="C55" s="5">
        <v>45</v>
      </c>
      <c r="D55" s="2">
        <v>20</v>
      </c>
      <c r="E55" s="5">
        <v>165</v>
      </c>
      <c r="F55" s="5">
        <v>65</v>
      </c>
      <c r="G55" s="6">
        <v>23.875114784205692</v>
      </c>
      <c r="H55" s="9" t="s">
        <v>33</v>
      </c>
      <c r="I55" s="2">
        <v>32</v>
      </c>
      <c r="J55" s="5" t="s">
        <v>44</v>
      </c>
      <c r="K55" s="5" t="s">
        <v>44</v>
      </c>
      <c r="L55" s="5" t="s">
        <v>44</v>
      </c>
      <c r="M55" s="5" t="s">
        <v>44</v>
      </c>
      <c r="N55" s="5">
        <v>17.45</v>
      </c>
      <c r="O55" s="5">
        <v>37.43</v>
      </c>
      <c r="P55" s="5">
        <v>0.56000000000000005</v>
      </c>
      <c r="Q55" s="5">
        <v>0.26</v>
      </c>
      <c r="R55" s="5">
        <v>0.3</v>
      </c>
      <c r="S55" s="8">
        <v>2.1449856733524357</v>
      </c>
      <c r="T55" s="5" t="s">
        <v>45</v>
      </c>
      <c r="U55" s="5" t="s">
        <v>55</v>
      </c>
      <c r="V55" s="5" t="s">
        <v>59</v>
      </c>
      <c r="W55" s="5" t="s">
        <v>65</v>
      </c>
      <c r="X55" s="5" t="s">
        <v>67</v>
      </c>
      <c r="Y55" s="5" t="s">
        <v>44</v>
      </c>
      <c r="AB55" s="9" t="s">
        <v>44</v>
      </c>
      <c r="AC55" s="2" t="s">
        <v>46</v>
      </c>
      <c r="AD55" s="2">
        <v>1</v>
      </c>
      <c r="AE55" s="2" t="s">
        <v>52</v>
      </c>
      <c r="AF55" s="2" t="s">
        <v>33</v>
      </c>
      <c r="AG55" s="5">
        <v>0</v>
      </c>
      <c r="AH55" s="5" t="s">
        <v>33</v>
      </c>
      <c r="AI55" s="5" t="s">
        <v>33</v>
      </c>
      <c r="AJ55" s="5">
        <v>25</v>
      </c>
      <c r="AK55" s="5" t="s">
        <v>35</v>
      </c>
    </row>
    <row r="56" spans="1:37" ht="28.8" x14ac:dyDescent="0.3">
      <c r="A56" s="5">
        <v>59</v>
      </c>
      <c r="B56" s="5" t="s">
        <v>39</v>
      </c>
      <c r="C56" s="5">
        <v>44</v>
      </c>
      <c r="D56" s="2">
        <v>20</v>
      </c>
      <c r="E56" s="5">
        <v>170</v>
      </c>
      <c r="F56" s="5">
        <v>82</v>
      </c>
      <c r="G56" s="6">
        <v>28.373702422145328</v>
      </c>
      <c r="H56" s="9" t="s">
        <v>42</v>
      </c>
      <c r="I56" s="2">
        <v>34</v>
      </c>
      <c r="J56" s="5" t="s">
        <v>44</v>
      </c>
      <c r="K56" s="5" t="s">
        <v>44</v>
      </c>
      <c r="L56" s="5" t="s">
        <v>44</v>
      </c>
      <c r="M56" s="5" t="s">
        <v>44</v>
      </c>
      <c r="N56" s="5">
        <v>29.46</v>
      </c>
      <c r="O56" s="5">
        <v>77.16</v>
      </c>
      <c r="P56" s="5">
        <v>0.21</v>
      </c>
      <c r="Q56" s="5">
        <v>0.2</v>
      </c>
      <c r="R56" s="5">
        <v>0.01</v>
      </c>
      <c r="S56" s="8">
        <v>2.6191446028513234</v>
      </c>
      <c r="T56" s="5" t="s">
        <v>45</v>
      </c>
      <c r="U56" s="5" t="s">
        <v>56</v>
      </c>
      <c r="V56" s="5" t="s">
        <v>59</v>
      </c>
      <c r="W56" s="5" t="s">
        <v>65</v>
      </c>
      <c r="X56" s="5" t="s">
        <v>67</v>
      </c>
      <c r="Y56" s="5" t="s">
        <v>44</v>
      </c>
      <c r="AB56" s="9" t="s">
        <v>44</v>
      </c>
      <c r="AC56" s="2" t="s">
        <v>46</v>
      </c>
      <c r="AD56" s="2">
        <v>0</v>
      </c>
      <c r="AE56" s="2" t="s">
        <v>49</v>
      </c>
      <c r="AF56" s="2" t="s">
        <v>85</v>
      </c>
      <c r="AG56" s="5">
        <v>1</v>
      </c>
      <c r="AH56" s="5" t="s">
        <v>36</v>
      </c>
      <c r="AI56" s="5" t="s">
        <v>89</v>
      </c>
      <c r="AJ56" s="5">
        <v>34</v>
      </c>
      <c r="AK56" s="5" t="s">
        <v>35</v>
      </c>
    </row>
    <row r="57" spans="1:37" ht="72" x14ac:dyDescent="0.3">
      <c r="A57" s="5">
        <v>60</v>
      </c>
      <c r="B57" s="5" t="s">
        <v>39</v>
      </c>
      <c r="C57" s="5">
        <v>57</v>
      </c>
      <c r="D57" s="2">
        <v>19</v>
      </c>
      <c r="E57" s="5">
        <v>158</v>
      </c>
      <c r="F57" s="5">
        <v>74</v>
      </c>
      <c r="G57" s="6">
        <v>29.642685467072585</v>
      </c>
      <c r="H57" s="9" t="s">
        <v>42</v>
      </c>
      <c r="I57" s="2">
        <v>38</v>
      </c>
      <c r="J57" s="5" t="s">
        <v>45</v>
      </c>
      <c r="K57" s="5" t="s">
        <v>45</v>
      </c>
      <c r="L57" s="5" t="s">
        <v>44</v>
      </c>
      <c r="M57" s="5" t="s">
        <v>44</v>
      </c>
      <c r="N57" s="5">
        <v>14.89</v>
      </c>
      <c r="O57" s="5">
        <v>20.58</v>
      </c>
      <c r="P57" s="5">
        <v>0.36</v>
      </c>
      <c r="Q57" s="5">
        <v>0.19</v>
      </c>
      <c r="R57" s="5">
        <v>0.17</v>
      </c>
      <c r="S57" s="8">
        <v>1.3821356615177971</v>
      </c>
      <c r="T57" s="5" t="s">
        <v>45</v>
      </c>
      <c r="U57" s="5" t="s">
        <v>55</v>
      </c>
      <c r="V57" s="5" t="s">
        <v>59</v>
      </c>
      <c r="W57" s="5" t="s">
        <v>65</v>
      </c>
      <c r="X57" s="5" t="s">
        <v>69</v>
      </c>
      <c r="Y57" s="5" t="s">
        <v>44</v>
      </c>
      <c r="AB57" s="9" t="s">
        <v>44</v>
      </c>
      <c r="AC57" s="2" t="s">
        <v>47</v>
      </c>
      <c r="AD57" s="2">
        <v>0</v>
      </c>
      <c r="AE57" s="2" t="s">
        <v>52</v>
      </c>
      <c r="AF57" s="2" t="s">
        <v>33</v>
      </c>
      <c r="AG57" s="5">
        <v>0</v>
      </c>
      <c r="AH57" s="5" t="s">
        <v>33</v>
      </c>
      <c r="AI57" s="5" t="s">
        <v>33</v>
      </c>
      <c r="AJ57" s="5">
        <v>46</v>
      </c>
      <c r="AK57" s="5" t="s">
        <v>38</v>
      </c>
    </row>
    <row r="58" spans="1:37" ht="28.8" x14ac:dyDescent="0.3">
      <c r="A58" s="5">
        <v>61</v>
      </c>
      <c r="B58" s="5" t="s">
        <v>39</v>
      </c>
      <c r="C58" s="5">
        <v>37</v>
      </c>
      <c r="D58" s="2">
        <v>10</v>
      </c>
      <c r="E58" s="5">
        <v>165</v>
      </c>
      <c r="F58" s="5">
        <v>61</v>
      </c>
      <c r="G58" s="6">
        <v>22.4058769513315</v>
      </c>
      <c r="H58" s="9" t="s">
        <v>33</v>
      </c>
      <c r="I58" s="2">
        <v>32</v>
      </c>
      <c r="J58" s="5" t="s">
        <v>44</v>
      </c>
      <c r="K58" s="5" t="s">
        <v>44</v>
      </c>
      <c r="L58" s="5" t="s">
        <v>44</v>
      </c>
      <c r="M58" s="5" t="s">
        <v>44</v>
      </c>
      <c r="N58" s="5">
        <v>31.6</v>
      </c>
      <c r="O58" s="5">
        <v>35.200000000000003</v>
      </c>
      <c r="P58" s="5">
        <v>0.77</v>
      </c>
      <c r="Q58" s="5">
        <v>0.13</v>
      </c>
      <c r="R58" s="5">
        <v>0.64</v>
      </c>
      <c r="S58" s="8">
        <v>1.1139240506329113</v>
      </c>
      <c r="T58" s="5" t="s">
        <v>45</v>
      </c>
      <c r="U58" s="5" t="s">
        <v>56</v>
      </c>
      <c r="V58" s="5" t="s">
        <v>60</v>
      </c>
      <c r="W58" s="5" t="s">
        <v>64</v>
      </c>
      <c r="X58" s="5" t="s">
        <v>68</v>
      </c>
      <c r="Y58" s="5" t="s">
        <v>44</v>
      </c>
      <c r="AB58" s="9" t="s">
        <v>44</v>
      </c>
      <c r="AC58" s="2" t="s">
        <v>47</v>
      </c>
      <c r="AD58" s="2">
        <v>1</v>
      </c>
      <c r="AE58" s="2" t="s">
        <v>52</v>
      </c>
      <c r="AF58" s="2" t="s">
        <v>33</v>
      </c>
      <c r="AG58" s="5">
        <v>0</v>
      </c>
      <c r="AH58" s="5" t="s">
        <v>33</v>
      </c>
      <c r="AI58" s="5" t="s">
        <v>33</v>
      </c>
      <c r="AJ58" s="5">
        <v>18</v>
      </c>
      <c r="AK58" s="5" t="s">
        <v>34</v>
      </c>
    </row>
    <row r="59" spans="1:37" x14ac:dyDescent="0.3">
      <c r="A59" s="5">
        <v>62</v>
      </c>
      <c r="B59" s="5" t="s">
        <v>39</v>
      </c>
      <c r="C59" s="5">
        <v>36</v>
      </c>
      <c r="D59" s="2">
        <v>15</v>
      </c>
      <c r="E59" s="5">
        <v>175</v>
      </c>
      <c r="F59" s="5">
        <v>86</v>
      </c>
      <c r="G59" s="6">
        <v>28.081632653061224</v>
      </c>
      <c r="H59" s="9" t="s">
        <v>42</v>
      </c>
      <c r="I59" s="2">
        <v>36</v>
      </c>
      <c r="J59" s="5" t="s">
        <v>44</v>
      </c>
      <c r="K59" s="5" t="s">
        <v>44</v>
      </c>
      <c r="L59" s="5" t="s">
        <v>44</v>
      </c>
      <c r="M59" s="5" t="s">
        <v>44</v>
      </c>
      <c r="N59" s="5">
        <v>21.2</v>
      </c>
      <c r="O59" s="5">
        <v>31.68</v>
      </c>
      <c r="P59" s="5">
        <v>0.73</v>
      </c>
      <c r="Q59" s="5">
        <v>0.23</v>
      </c>
      <c r="R59" s="5">
        <v>0.5</v>
      </c>
      <c r="S59" s="8">
        <v>1.4943396226415095</v>
      </c>
      <c r="T59" s="5" t="s">
        <v>44</v>
      </c>
      <c r="Y59" s="5" t="s">
        <v>44</v>
      </c>
      <c r="AB59" s="9" t="s">
        <v>44</v>
      </c>
      <c r="AC59" s="2" t="s">
        <v>47</v>
      </c>
      <c r="AD59" s="2">
        <v>1</v>
      </c>
      <c r="AE59" s="2" t="s">
        <v>49</v>
      </c>
      <c r="AF59" s="2" t="s">
        <v>33</v>
      </c>
      <c r="AG59" s="5">
        <v>0</v>
      </c>
      <c r="AH59" s="5" t="s">
        <v>33</v>
      </c>
      <c r="AI59" s="5" t="s">
        <v>33</v>
      </c>
      <c r="AJ59" s="5">
        <v>17</v>
      </c>
      <c r="AK59" s="5" t="s">
        <v>34</v>
      </c>
    </row>
    <row r="60" spans="1:37" ht="72" x14ac:dyDescent="0.3">
      <c r="A60" s="5">
        <v>63</v>
      </c>
      <c r="B60" s="5" t="s">
        <v>39</v>
      </c>
      <c r="C60" s="5">
        <v>44</v>
      </c>
      <c r="D60" s="2">
        <v>15</v>
      </c>
      <c r="E60" s="5">
        <v>169</v>
      </c>
      <c r="F60" s="5">
        <v>79</v>
      </c>
      <c r="G60" s="6">
        <v>27.66009593501628</v>
      </c>
      <c r="H60" s="9" t="s">
        <v>42</v>
      </c>
      <c r="I60" s="2">
        <v>36</v>
      </c>
      <c r="J60" s="5" t="s">
        <v>45</v>
      </c>
      <c r="K60" s="5" t="s">
        <v>44</v>
      </c>
      <c r="L60" s="5" t="s">
        <v>44</v>
      </c>
      <c r="M60" s="5" t="s">
        <v>44</v>
      </c>
      <c r="N60" s="5">
        <v>27.94</v>
      </c>
      <c r="O60" s="5">
        <v>43.14</v>
      </c>
      <c r="P60" s="5">
        <v>0.62</v>
      </c>
      <c r="Q60" s="5">
        <v>0.11</v>
      </c>
      <c r="R60" s="5">
        <v>0.51</v>
      </c>
      <c r="S60" s="8">
        <v>1.5440229062276305</v>
      </c>
      <c r="T60" s="5" t="s">
        <v>45</v>
      </c>
      <c r="U60" s="5" t="s">
        <v>55</v>
      </c>
      <c r="V60" s="5" t="s">
        <v>60</v>
      </c>
      <c r="W60" s="5" t="s">
        <v>65</v>
      </c>
      <c r="X60" s="5" t="s">
        <v>69</v>
      </c>
      <c r="Y60" s="5" t="s">
        <v>44</v>
      </c>
      <c r="AB60" s="9" t="s">
        <v>44</v>
      </c>
      <c r="AC60" s="2" t="s">
        <v>46</v>
      </c>
      <c r="AD60" s="2">
        <v>0</v>
      </c>
      <c r="AE60" s="2" t="s">
        <v>49</v>
      </c>
      <c r="AF60" s="2" t="s">
        <v>85</v>
      </c>
      <c r="AG60" s="5">
        <v>1</v>
      </c>
      <c r="AH60" s="5" t="s">
        <v>88</v>
      </c>
      <c r="AI60" s="5" t="s">
        <v>88</v>
      </c>
      <c r="AJ60" s="5">
        <v>33</v>
      </c>
      <c r="AK60" s="5" t="s">
        <v>35</v>
      </c>
    </row>
    <row r="61" spans="1:37" x14ac:dyDescent="0.3">
      <c r="A61" s="5">
        <v>64</v>
      </c>
      <c r="B61" s="5" t="s">
        <v>39</v>
      </c>
      <c r="C61" s="5">
        <v>35</v>
      </c>
      <c r="D61" s="2">
        <v>11</v>
      </c>
      <c r="E61" s="5">
        <v>170</v>
      </c>
      <c r="F61" s="5">
        <v>69</v>
      </c>
      <c r="G61" s="6">
        <v>23.875432525951556</v>
      </c>
      <c r="H61" s="9" t="s">
        <v>33</v>
      </c>
      <c r="I61" s="2">
        <v>32</v>
      </c>
      <c r="J61" s="5" t="s">
        <v>44</v>
      </c>
      <c r="K61" s="5" t="s">
        <v>44</v>
      </c>
      <c r="L61" s="5" t="s">
        <v>44</v>
      </c>
      <c r="M61" s="5" t="s">
        <v>45</v>
      </c>
      <c r="N61" s="5">
        <v>41.1</v>
      </c>
      <c r="O61" s="5">
        <v>69</v>
      </c>
      <c r="P61" s="5">
        <v>0.34</v>
      </c>
      <c r="Q61" s="5">
        <v>0.12</v>
      </c>
      <c r="R61" s="5">
        <v>0.22</v>
      </c>
      <c r="S61" s="8">
        <v>1.6788321167883211</v>
      </c>
      <c r="T61" s="5" t="s">
        <v>44</v>
      </c>
      <c r="Y61" s="5" t="s">
        <v>44</v>
      </c>
      <c r="AB61" s="9" t="s">
        <v>44</v>
      </c>
      <c r="AC61" s="2" t="s">
        <v>46</v>
      </c>
      <c r="AD61" s="2">
        <v>1</v>
      </c>
      <c r="AE61" s="2" t="s">
        <v>52</v>
      </c>
      <c r="AF61" s="2" t="s">
        <v>85</v>
      </c>
      <c r="AG61" s="5">
        <v>1</v>
      </c>
      <c r="AH61" s="5" t="s">
        <v>88</v>
      </c>
      <c r="AI61" s="5" t="s">
        <v>88</v>
      </c>
      <c r="AJ61" s="5">
        <v>19</v>
      </c>
      <c r="AK61" s="5" t="s">
        <v>34</v>
      </c>
    </row>
    <row r="62" spans="1:37" ht="28.8" x14ac:dyDescent="0.3">
      <c r="A62" s="5">
        <v>65</v>
      </c>
      <c r="B62" s="5" t="s">
        <v>39</v>
      </c>
      <c r="C62" s="5">
        <v>32</v>
      </c>
      <c r="D62" s="2">
        <v>7</v>
      </c>
      <c r="E62" s="5">
        <v>168</v>
      </c>
      <c r="F62" s="5">
        <v>80</v>
      </c>
      <c r="G62" s="6">
        <v>28.344671201814059</v>
      </c>
      <c r="H62" s="9" t="s">
        <v>42</v>
      </c>
      <c r="I62" s="2">
        <v>34</v>
      </c>
      <c r="J62" s="5" t="s">
        <v>44</v>
      </c>
      <c r="K62" s="5" t="s">
        <v>44</v>
      </c>
      <c r="L62" s="5" t="s">
        <v>44</v>
      </c>
      <c r="M62" s="5" t="s">
        <v>44</v>
      </c>
      <c r="N62" s="5">
        <v>38.200000000000003</v>
      </c>
      <c r="O62" s="5">
        <v>42.9</v>
      </c>
      <c r="P62" s="5">
        <v>0.46</v>
      </c>
      <c r="Q62" s="5">
        <v>0.05</v>
      </c>
      <c r="R62" s="5">
        <v>0.41</v>
      </c>
      <c r="S62" s="8">
        <v>1.1230366492146595</v>
      </c>
      <c r="T62" s="5" t="s">
        <v>45</v>
      </c>
      <c r="U62" s="5" t="s">
        <v>57</v>
      </c>
      <c r="V62" s="5" t="s">
        <v>61</v>
      </c>
      <c r="W62" s="5" t="s">
        <v>65</v>
      </c>
      <c r="X62" s="5" t="s">
        <v>67</v>
      </c>
      <c r="Y62" s="5" t="s">
        <v>45</v>
      </c>
      <c r="AA62" s="5" t="s">
        <v>81</v>
      </c>
      <c r="AB62" s="9" t="s">
        <v>44</v>
      </c>
      <c r="AC62" s="2" t="s">
        <v>47</v>
      </c>
      <c r="AD62" s="2">
        <v>0</v>
      </c>
      <c r="AE62" s="2" t="s">
        <v>48</v>
      </c>
      <c r="AF62" s="2" t="s">
        <v>85</v>
      </c>
      <c r="AG62" s="5">
        <v>1</v>
      </c>
      <c r="AH62" s="5" t="s">
        <v>88</v>
      </c>
      <c r="AI62" s="5" t="s">
        <v>88</v>
      </c>
      <c r="AJ62" s="5">
        <v>26</v>
      </c>
      <c r="AK62" s="5" t="s">
        <v>35</v>
      </c>
    </row>
    <row r="63" spans="1:37" x14ac:dyDescent="0.3">
      <c r="A63" s="5">
        <v>66</v>
      </c>
      <c r="B63" s="5" t="s">
        <v>39</v>
      </c>
      <c r="C63" s="5">
        <v>37</v>
      </c>
      <c r="D63" s="2">
        <v>16</v>
      </c>
      <c r="E63" s="5">
        <v>159</v>
      </c>
      <c r="F63" s="5">
        <v>56</v>
      </c>
      <c r="G63" s="6">
        <v>22.151022507021086</v>
      </c>
      <c r="H63" s="9" t="s">
        <v>33</v>
      </c>
      <c r="I63" s="2">
        <v>28</v>
      </c>
      <c r="J63" s="5" t="s">
        <v>44</v>
      </c>
      <c r="K63" s="5" t="s">
        <v>44</v>
      </c>
      <c r="L63" s="5" t="s">
        <v>44</v>
      </c>
      <c r="M63" s="5" t="s">
        <v>44</v>
      </c>
      <c r="N63" s="5">
        <v>42.52</v>
      </c>
      <c r="O63" s="5">
        <v>87.76</v>
      </c>
      <c r="P63" s="5">
        <v>0.11</v>
      </c>
      <c r="Q63" s="5">
        <v>0.05</v>
      </c>
      <c r="R63" s="5">
        <v>0.06</v>
      </c>
      <c r="S63" s="8">
        <v>2.0639698965192852</v>
      </c>
      <c r="T63" s="5" t="s">
        <v>44</v>
      </c>
      <c r="Y63" s="5" t="s">
        <v>44</v>
      </c>
      <c r="AB63" s="9" t="s">
        <v>44</v>
      </c>
      <c r="AC63" s="2" t="s">
        <v>46</v>
      </c>
      <c r="AD63" s="2">
        <v>1</v>
      </c>
      <c r="AE63" s="2" t="s">
        <v>49</v>
      </c>
      <c r="AF63" s="2" t="s">
        <v>85</v>
      </c>
      <c r="AG63" s="5">
        <v>1</v>
      </c>
      <c r="AH63" s="5" t="s">
        <v>36</v>
      </c>
      <c r="AI63" s="5" t="s">
        <v>86</v>
      </c>
      <c r="AJ63" s="5">
        <v>18</v>
      </c>
      <c r="AK63" s="5" t="s">
        <v>34</v>
      </c>
    </row>
    <row r="64" spans="1:37" x14ac:dyDescent="0.3">
      <c r="A64" s="5">
        <v>67</v>
      </c>
      <c r="B64" s="5" t="s">
        <v>39</v>
      </c>
      <c r="C64" s="5">
        <v>38</v>
      </c>
      <c r="D64" s="2">
        <v>10</v>
      </c>
      <c r="E64" s="5">
        <v>162</v>
      </c>
      <c r="F64" s="5">
        <v>60</v>
      </c>
      <c r="G64" s="6">
        <v>22.862368541380889</v>
      </c>
      <c r="H64" s="9" t="s">
        <v>33</v>
      </c>
      <c r="I64" s="2">
        <v>32</v>
      </c>
      <c r="J64" s="5" t="s">
        <v>44</v>
      </c>
      <c r="K64" s="5" t="s">
        <v>44</v>
      </c>
      <c r="L64" s="5" t="s">
        <v>44</v>
      </c>
      <c r="M64" s="5" t="s">
        <v>44</v>
      </c>
      <c r="N64" s="5">
        <v>21.85</v>
      </c>
      <c r="O64" s="5">
        <v>34.4</v>
      </c>
      <c r="P64" s="5">
        <v>0.38</v>
      </c>
      <c r="Q64" s="5">
        <v>7.0000000000000007E-2</v>
      </c>
      <c r="R64" s="5">
        <v>0.31</v>
      </c>
      <c r="S64" s="8">
        <v>1.5743707093821508</v>
      </c>
      <c r="T64" s="5" t="s">
        <v>44</v>
      </c>
      <c r="Y64" s="5" t="s">
        <v>44</v>
      </c>
      <c r="AB64" s="9" t="s">
        <v>44</v>
      </c>
      <c r="AC64" s="2" t="s">
        <v>47</v>
      </c>
      <c r="AD64" s="2">
        <v>0</v>
      </c>
      <c r="AE64" s="2" t="s">
        <v>49</v>
      </c>
      <c r="AF64" s="2" t="s">
        <v>33</v>
      </c>
      <c r="AG64" s="5">
        <v>0</v>
      </c>
      <c r="AH64" s="5" t="s">
        <v>33</v>
      </c>
      <c r="AI64" s="5" t="s">
        <v>33</v>
      </c>
      <c r="AJ64" s="5">
        <v>5</v>
      </c>
      <c r="AK64" s="5" t="s">
        <v>34</v>
      </c>
    </row>
    <row r="65" spans="1:37" x14ac:dyDescent="0.3">
      <c r="A65" s="5">
        <v>68</v>
      </c>
      <c r="B65" s="5" t="s">
        <v>39</v>
      </c>
      <c r="C65" s="5">
        <v>56</v>
      </c>
      <c r="D65" s="2">
        <v>34</v>
      </c>
      <c r="E65" s="5">
        <v>165</v>
      </c>
      <c r="F65" s="5">
        <v>53</v>
      </c>
      <c r="G65" s="6">
        <v>19.467401285583104</v>
      </c>
      <c r="H65" s="9" t="s">
        <v>33</v>
      </c>
      <c r="I65" s="2">
        <v>34</v>
      </c>
      <c r="J65" s="5" t="s">
        <v>45</v>
      </c>
      <c r="K65" s="5" t="s">
        <v>44</v>
      </c>
      <c r="L65" s="5" t="s">
        <v>44</v>
      </c>
      <c r="M65" s="5" t="s">
        <v>44</v>
      </c>
      <c r="N65" s="5">
        <v>20.5</v>
      </c>
      <c r="O65" s="5">
        <v>38.6</v>
      </c>
      <c r="P65" s="5">
        <v>0.55000000000000004</v>
      </c>
      <c r="Q65" s="5">
        <v>0.05</v>
      </c>
      <c r="R65" s="5">
        <v>0.5</v>
      </c>
      <c r="S65" s="8">
        <v>1.8829268292682928</v>
      </c>
      <c r="T65" s="5" t="s">
        <v>44</v>
      </c>
      <c r="Y65" s="5" t="s">
        <v>44</v>
      </c>
      <c r="AB65" s="9" t="s">
        <v>44</v>
      </c>
      <c r="AC65" s="2" t="s">
        <v>46</v>
      </c>
      <c r="AD65" s="2">
        <v>1</v>
      </c>
      <c r="AE65" s="2" t="s">
        <v>49</v>
      </c>
      <c r="AF65" s="2" t="s">
        <v>33</v>
      </c>
      <c r="AG65" s="5">
        <v>0</v>
      </c>
      <c r="AH65" s="5" t="s">
        <v>33</v>
      </c>
      <c r="AI65" s="5" t="s">
        <v>33</v>
      </c>
      <c r="AJ65" s="5">
        <v>16</v>
      </c>
      <c r="AK65" s="5" t="s">
        <v>34</v>
      </c>
    </row>
    <row r="66" spans="1:37" x14ac:dyDescent="0.3">
      <c r="A66" s="5">
        <v>69</v>
      </c>
      <c r="B66" s="5" t="s">
        <v>39</v>
      </c>
      <c r="C66" s="5">
        <v>40</v>
      </c>
      <c r="D66" s="2">
        <v>25</v>
      </c>
      <c r="E66" s="5">
        <v>160</v>
      </c>
      <c r="F66" s="5">
        <v>70</v>
      </c>
      <c r="G66" s="6">
        <v>27.34375</v>
      </c>
      <c r="H66" s="9" t="s">
        <v>42</v>
      </c>
      <c r="I66" s="2">
        <v>32</v>
      </c>
      <c r="J66" s="5" t="s">
        <v>44</v>
      </c>
      <c r="K66" s="5" t="s">
        <v>44</v>
      </c>
      <c r="L66" s="5" t="s">
        <v>44</v>
      </c>
      <c r="M66" s="5" t="s">
        <v>44</v>
      </c>
      <c r="N66" s="5">
        <v>35.200000000000003</v>
      </c>
      <c r="O66" s="5">
        <v>48.6</v>
      </c>
      <c r="P66" s="5">
        <v>0.81</v>
      </c>
      <c r="Q66" s="5">
        <v>0.16</v>
      </c>
      <c r="R66" s="5">
        <v>0.65</v>
      </c>
      <c r="S66" s="8">
        <v>1.3806818181818181</v>
      </c>
      <c r="T66" s="5" t="s">
        <v>44</v>
      </c>
      <c r="Y66" s="5" t="s">
        <v>44</v>
      </c>
      <c r="AB66" s="9" t="s">
        <v>45</v>
      </c>
      <c r="AC66" s="2" t="s">
        <v>46</v>
      </c>
      <c r="AD66" s="2">
        <v>0</v>
      </c>
      <c r="AE66" s="2" t="s">
        <v>49</v>
      </c>
      <c r="AF66" s="2" t="s">
        <v>85</v>
      </c>
      <c r="AG66" s="5">
        <v>1</v>
      </c>
      <c r="AH66" s="5" t="s">
        <v>37</v>
      </c>
      <c r="AI66" s="5" t="s">
        <v>37</v>
      </c>
      <c r="AJ66" s="5">
        <v>15</v>
      </c>
      <c r="AK66" s="5" t="s">
        <v>34</v>
      </c>
    </row>
    <row r="67" spans="1:37" x14ac:dyDescent="0.3">
      <c r="A67" s="5">
        <v>70</v>
      </c>
      <c r="B67" s="5" t="s">
        <v>39</v>
      </c>
      <c r="C67" s="5">
        <v>51</v>
      </c>
      <c r="D67" s="2">
        <v>23</v>
      </c>
      <c r="E67" s="5">
        <v>165</v>
      </c>
      <c r="F67" s="5">
        <v>81</v>
      </c>
      <c r="G67" s="6">
        <v>29.752066115702476</v>
      </c>
      <c r="H67" s="9" t="s">
        <v>42</v>
      </c>
      <c r="I67" s="2">
        <v>40</v>
      </c>
      <c r="J67" s="5" t="s">
        <v>44</v>
      </c>
      <c r="K67" s="5" t="s">
        <v>44</v>
      </c>
      <c r="L67" s="5" t="s">
        <v>44</v>
      </c>
      <c r="M67" s="5" t="s">
        <v>44</v>
      </c>
      <c r="N67" s="5">
        <v>42.5</v>
      </c>
      <c r="O67" s="5">
        <v>39.200000000000003</v>
      </c>
      <c r="P67" s="5">
        <v>0.33</v>
      </c>
      <c r="Q67" s="5">
        <v>0.12</v>
      </c>
      <c r="R67" s="5">
        <v>0.21</v>
      </c>
      <c r="S67" s="8">
        <v>0.92235294117647071</v>
      </c>
      <c r="T67" s="5" t="s">
        <v>44</v>
      </c>
      <c r="Y67" s="5" t="s">
        <v>44</v>
      </c>
      <c r="AB67" s="9" t="s">
        <v>44</v>
      </c>
      <c r="AC67" s="2" t="s">
        <v>46</v>
      </c>
      <c r="AD67" s="2">
        <v>0</v>
      </c>
      <c r="AE67" s="2" t="s">
        <v>48</v>
      </c>
      <c r="AF67" s="2" t="s">
        <v>33</v>
      </c>
      <c r="AG67" s="5">
        <v>0</v>
      </c>
      <c r="AH67" s="5" t="s">
        <v>33</v>
      </c>
      <c r="AI67" s="5" t="s">
        <v>33</v>
      </c>
      <c r="AJ67" s="5">
        <v>19</v>
      </c>
      <c r="AK67" s="5" t="s">
        <v>34</v>
      </c>
    </row>
    <row r="68" spans="1:37" ht="28.8" x14ac:dyDescent="0.3">
      <c r="A68" s="5">
        <v>71</v>
      </c>
      <c r="B68" s="5" t="s">
        <v>39</v>
      </c>
      <c r="C68" s="5">
        <v>48</v>
      </c>
      <c r="D68" s="2">
        <v>20</v>
      </c>
      <c r="E68" s="5">
        <v>166</v>
      </c>
      <c r="F68" s="5">
        <v>66</v>
      </c>
      <c r="G68" s="6">
        <v>23.951226593119465</v>
      </c>
      <c r="H68" s="9" t="s">
        <v>33</v>
      </c>
      <c r="I68" s="2">
        <v>32</v>
      </c>
      <c r="J68" s="5" t="s">
        <v>44</v>
      </c>
      <c r="K68" s="5" t="s">
        <v>44</v>
      </c>
      <c r="L68" s="5" t="s">
        <v>44</v>
      </c>
      <c r="M68" s="5" t="s">
        <v>44</v>
      </c>
      <c r="N68" s="5">
        <v>53.6</v>
      </c>
      <c r="O68" s="5">
        <v>37.200000000000003</v>
      </c>
      <c r="P68" s="5">
        <v>0.3</v>
      </c>
      <c r="Q68" s="5">
        <v>7.0000000000000007E-2</v>
      </c>
      <c r="R68" s="5">
        <v>0.23</v>
      </c>
      <c r="S68" s="8">
        <v>0.69402985074626866</v>
      </c>
      <c r="T68" s="5" t="s">
        <v>45</v>
      </c>
      <c r="U68" s="5" t="s">
        <v>56</v>
      </c>
      <c r="V68" s="5" t="s">
        <v>59</v>
      </c>
      <c r="W68" s="5" t="s">
        <v>65</v>
      </c>
      <c r="X68" s="5" t="s">
        <v>68</v>
      </c>
      <c r="Y68" s="5" t="s">
        <v>44</v>
      </c>
      <c r="AB68" s="9" t="s">
        <v>44</v>
      </c>
      <c r="AC68" s="2" t="s">
        <v>47</v>
      </c>
      <c r="AD68" s="2">
        <v>0</v>
      </c>
      <c r="AE68" s="2" t="s">
        <v>52</v>
      </c>
      <c r="AF68" s="2" t="s">
        <v>33</v>
      </c>
      <c r="AG68" s="5">
        <v>0</v>
      </c>
      <c r="AH68" s="5" t="s">
        <v>33</v>
      </c>
      <c r="AI68" s="5" t="s">
        <v>33</v>
      </c>
      <c r="AJ68" s="5">
        <v>22</v>
      </c>
      <c r="AK68" s="5" t="s">
        <v>35</v>
      </c>
    </row>
    <row r="69" spans="1:37" x14ac:dyDescent="0.3">
      <c r="A69" s="5">
        <v>72</v>
      </c>
      <c r="B69" s="5" t="s">
        <v>39</v>
      </c>
      <c r="C69" s="5">
        <v>39</v>
      </c>
      <c r="D69" s="2">
        <v>15</v>
      </c>
      <c r="E69" s="5">
        <v>180</v>
      </c>
      <c r="F69" s="5">
        <v>93</v>
      </c>
      <c r="G69" s="6">
        <v>28.703703703703702</v>
      </c>
      <c r="H69" s="9" t="s">
        <v>42</v>
      </c>
      <c r="I69" s="2">
        <v>38</v>
      </c>
      <c r="J69" s="5" t="s">
        <v>44</v>
      </c>
      <c r="K69" s="5" t="s">
        <v>44</v>
      </c>
      <c r="L69" s="5" t="s">
        <v>44</v>
      </c>
      <c r="M69" s="5" t="s">
        <v>45</v>
      </c>
      <c r="N69" s="5">
        <v>50.3</v>
      </c>
      <c r="O69" s="5">
        <v>39.799999999999997</v>
      </c>
      <c r="P69" s="5">
        <v>0.52</v>
      </c>
      <c r="Q69" s="5">
        <v>0.08</v>
      </c>
      <c r="R69" s="5">
        <v>0.44</v>
      </c>
      <c r="S69" s="8">
        <v>0.79125248508946322</v>
      </c>
      <c r="T69" s="5" t="s">
        <v>44</v>
      </c>
      <c r="Y69" s="5" t="s">
        <v>44</v>
      </c>
      <c r="AB69" s="9" t="s">
        <v>44</v>
      </c>
      <c r="AC69" s="2" t="s">
        <v>47</v>
      </c>
      <c r="AD69" s="2">
        <v>0</v>
      </c>
      <c r="AE69" s="2" t="s">
        <v>49</v>
      </c>
      <c r="AF69" s="2" t="s">
        <v>33</v>
      </c>
      <c r="AG69" s="5">
        <v>0</v>
      </c>
      <c r="AH69" s="5" t="s">
        <v>33</v>
      </c>
      <c r="AI69" s="5" t="s">
        <v>33</v>
      </c>
      <c r="AJ69" s="5">
        <v>19</v>
      </c>
      <c r="AK69" s="5" t="s">
        <v>34</v>
      </c>
    </row>
    <row r="70" spans="1:37" x14ac:dyDescent="0.3">
      <c r="A70" s="5">
        <v>73</v>
      </c>
      <c r="B70" s="5" t="s">
        <v>39</v>
      </c>
      <c r="C70" s="5">
        <v>33</v>
      </c>
      <c r="D70" s="2">
        <v>10</v>
      </c>
      <c r="E70" s="5">
        <v>165</v>
      </c>
      <c r="F70" s="5">
        <v>72</v>
      </c>
      <c r="G70" s="6">
        <v>26.446280991735538</v>
      </c>
      <c r="H70" s="9" t="s">
        <v>42</v>
      </c>
      <c r="I70" s="2">
        <v>30</v>
      </c>
      <c r="J70" s="5" t="s">
        <v>44</v>
      </c>
      <c r="K70" s="5" t="s">
        <v>44</v>
      </c>
      <c r="L70" s="5" t="s">
        <v>44</v>
      </c>
      <c r="M70" s="5" t="s">
        <v>44</v>
      </c>
      <c r="N70" s="5">
        <v>43.3</v>
      </c>
      <c r="O70" s="5">
        <v>32.1</v>
      </c>
      <c r="P70" s="5">
        <v>0.42</v>
      </c>
      <c r="Q70" s="5">
        <v>0.11</v>
      </c>
      <c r="R70" s="5">
        <v>0.31</v>
      </c>
      <c r="S70" s="8">
        <v>0.74133949191685922</v>
      </c>
      <c r="T70" s="5" t="s">
        <v>44</v>
      </c>
      <c r="Y70" s="5" t="s">
        <v>44</v>
      </c>
      <c r="AB70" s="9" t="s">
        <v>44</v>
      </c>
      <c r="AC70" s="2" t="s">
        <v>46</v>
      </c>
      <c r="AD70" s="2">
        <v>0</v>
      </c>
      <c r="AE70" s="2" t="s">
        <v>49</v>
      </c>
      <c r="AF70" s="2" t="s">
        <v>33</v>
      </c>
      <c r="AG70" s="5">
        <v>0</v>
      </c>
      <c r="AH70" s="5" t="s">
        <v>33</v>
      </c>
      <c r="AI70" s="5" t="s">
        <v>33</v>
      </c>
      <c r="AJ70" s="5">
        <v>14</v>
      </c>
      <c r="AK70" s="5" t="s">
        <v>34</v>
      </c>
    </row>
    <row r="71" spans="1:37" x14ac:dyDescent="0.3">
      <c r="A71" s="5">
        <v>74</v>
      </c>
      <c r="B71" s="5" t="s">
        <v>39</v>
      </c>
      <c r="C71" s="5">
        <v>47</v>
      </c>
      <c r="D71" s="2">
        <v>24</v>
      </c>
      <c r="E71" s="5">
        <v>174</v>
      </c>
      <c r="F71" s="5">
        <v>70</v>
      </c>
      <c r="G71" s="6">
        <v>23.120623596247853</v>
      </c>
      <c r="H71" s="9" t="s">
        <v>33</v>
      </c>
      <c r="I71" s="2">
        <v>30</v>
      </c>
      <c r="J71" s="5" t="s">
        <v>44</v>
      </c>
      <c r="K71" s="5" t="s">
        <v>44</v>
      </c>
      <c r="L71" s="5" t="s">
        <v>44</v>
      </c>
      <c r="M71" s="5" t="s">
        <v>45</v>
      </c>
      <c r="N71" s="5">
        <v>35.200000000000003</v>
      </c>
      <c r="O71" s="5">
        <v>36.200000000000003</v>
      </c>
      <c r="P71" s="5">
        <v>0.1</v>
      </c>
      <c r="Q71" s="5">
        <v>0.02</v>
      </c>
      <c r="R71" s="5">
        <v>0.08</v>
      </c>
      <c r="S71" s="8">
        <v>1.0284090909090908</v>
      </c>
      <c r="T71" s="5" t="s">
        <v>44</v>
      </c>
      <c r="Y71" s="5" t="s">
        <v>44</v>
      </c>
      <c r="AB71" s="9" t="s">
        <v>44</v>
      </c>
      <c r="AC71" s="2" t="s">
        <v>46</v>
      </c>
      <c r="AD71" s="2">
        <v>1</v>
      </c>
      <c r="AE71" s="2" t="s">
        <v>48</v>
      </c>
      <c r="AF71" s="2" t="s">
        <v>33</v>
      </c>
      <c r="AG71" s="5">
        <v>0</v>
      </c>
      <c r="AH71" s="5" t="s">
        <v>33</v>
      </c>
      <c r="AI71" s="5" t="s">
        <v>33</v>
      </c>
      <c r="AJ71" s="5">
        <v>9</v>
      </c>
      <c r="AK71" s="5" t="s">
        <v>34</v>
      </c>
    </row>
    <row r="72" spans="1:37" x14ac:dyDescent="0.3">
      <c r="A72" s="5">
        <v>75</v>
      </c>
      <c r="B72" s="5" t="s">
        <v>39</v>
      </c>
      <c r="C72" s="5">
        <v>36</v>
      </c>
      <c r="D72" s="2">
        <v>3</v>
      </c>
      <c r="E72" s="5">
        <v>176</v>
      </c>
      <c r="F72" s="5">
        <v>86</v>
      </c>
      <c r="G72" s="6">
        <v>27.763429752066113</v>
      </c>
      <c r="H72" s="9" t="s">
        <v>42</v>
      </c>
      <c r="I72" s="2">
        <v>38</v>
      </c>
      <c r="J72" s="5" t="s">
        <v>44</v>
      </c>
      <c r="K72" s="5" t="s">
        <v>44</v>
      </c>
      <c r="L72" s="5" t="s">
        <v>44</v>
      </c>
      <c r="M72" s="5" t="s">
        <v>44</v>
      </c>
      <c r="N72" s="5">
        <v>26.6</v>
      </c>
      <c r="O72" s="5">
        <v>38.6</v>
      </c>
      <c r="P72" s="5">
        <v>0.78</v>
      </c>
      <c r="Q72" s="5">
        <v>0.1</v>
      </c>
      <c r="R72" s="5">
        <v>0.68</v>
      </c>
      <c r="S72" s="8">
        <v>1.4511278195488722</v>
      </c>
      <c r="T72" s="5" t="s">
        <v>44</v>
      </c>
      <c r="Y72" s="5" t="s">
        <v>44</v>
      </c>
      <c r="AB72" s="9" t="s">
        <v>44</v>
      </c>
      <c r="AC72" s="2" t="s">
        <v>46</v>
      </c>
      <c r="AD72" s="2">
        <v>0</v>
      </c>
      <c r="AE72" s="2" t="s">
        <v>49</v>
      </c>
      <c r="AF72" s="2" t="s">
        <v>33</v>
      </c>
      <c r="AG72" s="5">
        <v>0</v>
      </c>
      <c r="AH72" s="5" t="s">
        <v>33</v>
      </c>
      <c r="AI72" s="5" t="s">
        <v>33</v>
      </c>
      <c r="AJ72" s="5">
        <v>12</v>
      </c>
      <c r="AK72" s="5" t="s">
        <v>34</v>
      </c>
    </row>
    <row r="73" spans="1:37" x14ac:dyDescent="0.3">
      <c r="A73" s="5">
        <v>76</v>
      </c>
      <c r="B73" s="5" t="s">
        <v>39</v>
      </c>
      <c r="C73" s="5">
        <v>44</v>
      </c>
      <c r="D73" s="2">
        <v>17</v>
      </c>
      <c r="E73" s="5">
        <v>163</v>
      </c>
      <c r="F73" s="5">
        <v>76</v>
      </c>
      <c r="G73" s="6">
        <v>28.604764951635364</v>
      </c>
      <c r="H73" s="9" t="s">
        <v>42</v>
      </c>
      <c r="I73" s="2">
        <v>36</v>
      </c>
      <c r="J73" s="5" t="s">
        <v>44</v>
      </c>
      <c r="K73" s="5" t="s">
        <v>44</v>
      </c>
      <c r="L73" s="5" t="s">
        <v>44</v>
      </c>
      <c r="M73" s="5" t="s">
        <v>44</v>
      </c>
      <c r="N73" s="5">
        <v>41.3</v>
      </c>
      <c r="O73" s="5">
        <v>35</v>
      </c>
      <c r="P73" s="5">
        <v>0.63</v>
      </c>
      <c r="Q73" s="5">
        <v>0.08</v>
      </c>
      <c r="R73" s="5">
        <v>0.55000000000000004</v>
      </c>
      <c r="S73" s="8">
        <v>0.84745762711864414</v>
      </c>
      <c r="T73" s="5" t="s">
        <v>44</v>
      </c>
      <c r="Y73" s="5" t="s">
        <v>44</v>
      </c>
      <c r="AB73" s="9" t="s">
        <v>44</v>
      </c>
      <c r="AC73" s="2" t="s">
        <v>46</v>
      </c>
      <c r="AD73" s="2">
        <v>0</v>
      </c>
      <c r="AE73" s="2" t="s">
        <v>49</v>
      </c>
      <c r="AF73" s="2" t="s">
        <v>33</v>
      </c>
      <c r="AG73" s="5">
        <v>0</v>
      </c>
      <c r="AH73" s="5" t="s">
        <v>33</v>
      </c>
      <c r="AI73" s="5" t="s">
        <v>33</v>
      </c>
      <c r="AJ73" s="5">
        <v>20</v>
      </c>
      <c r="AK73" s="5" t="s">
        <v>34</v>
      </c>
    </row>
    <row r="74" spans="1:37" ht="28.8" x14ac:dyDescent="0.3">
      <c r="A74" s="5">
        <v>77</v>
      </c>
      <c r="B74" s="5" t="s">
        <v>39</v>
      </c>
      <c r="C74" s="5">
        <v>40</v>
      </c>
      <c r="D74" s="2">
        <v>13</v>
      </c>
      <c r="E74" s="5">
        <v>170</v>
      </c>
      <c r="F74" s="5">
        <v>84</v>
      </c>
      <c r="G74" s="6">
        <v>29.065743944636679</v>
      </c>
      <c r="H74" s="9" t="s">
        <v>42</v>
      </c>
      <c r="I74" s="2">
        <v>34</v>
      </c>
      <c r="J74" s="5" t="s">
        <v>45</v>
      </c>
      <c r="K74" s="5" t="s">
        <v>45</v>
      </c>
      <c r="L74" s="5" t="s">
        <v>44</v>
      </c>
      <c r="M74" s="5" t="s">
        <v>44</v>
      </c>
      <c r="N74" s="5">
        <v>31.8</v>
      </c>
      <c r="O74" s="5">
        <v>39.799999999999997</v>
      </c>
      <c r="P74" s="5">
        <v>0.45</v>
      </c>
      <c r="Q74" s="5">
        <v>0.11</v>
      </c>
      <c r="R74" s="5">
        <v>0.34</v>
      </c>
      <c r="S74" s="8">
        <v>1.2515723270440251</v>
      </c>
      <c r="T74" s="5" t="s">
        <v>45</v>
      </c>
      <c r="U74" s="5" t="s">
        <v>57</v>
      </c>
      <c r="V74" s="5" t="s">
        <v>60</v>
      </c>
      <c r="W74" s="5" t="s">
        <v>65</v>
      </c>
      <c r="X74" s="5" t="s">
        <v>68</v>
      </c>
      <c r="Y74" s="5" t="s">
        <v>44</v>
      </c>
      <c r="AB74" s="9" t="s">
        <v>44</v>
      </c>
      <c r="AC74" s="2" t="s">
        <v>46</v>
      </c>
      <c r="AD74" s="2">
        <v>0</v>
      </c>
      <c r="AE74" s="2" t="s">
        <v>49</v>
      </c>
      <c r="AF74" s="2" t="s">
        <v>33</v>
      </c>
      <c r="AG74" s="5">
        <v>0</v>
      </c>
      <c r="AH74" s="5" t="s">
        <v>33</v>
      </c>
      <c r="AI74" s="5" t="s">
        <v>33</v>
      </c>
      <c r="AJ74" s="5">
        <v>40</v>
      </c>
      <c r="AK74" s="5" t="s">
        <v>35</v>
      </c>
    </row>
    <row r="75" spans="1:37" x14ac:dyDescent="0.3">
      <c r="A75" s="5">
        <v>78</v>
      </c>
      <c r="B75" s="5" t="s">
        <v>39</v>
      </c>
      <c r="C75" s="5">
        <v>36</v>
      </c>
      <c r="D75" s="2">
        <v>8</v>
      </c>
      <c r="E75" s="5">
        <v>172</v>
      </c>
      <c r="F75" s="5">
        <v>72</v>
      </c>
      <c r="G75" s="6">
        <v>24.337479718766904</v>
      </c>
      <c r="H75" s="9" t="s">
        <v>33</v>
      </c>
      <c r="I75" s="2">
        <v>32</v>
      </c>
      <c r="J75" s="5" t="s">
        <v>44</v>
      </c>
      <c r="K75" s="5" t="s">
        <v>44</v>
      </c>
      <c r="L75" s="5" t="s">
        <v>44</v>
      </c>
      <c r="M75" s="5" t="s">
        <v>44</v>
      </c>
      <c r="N75" s="5">
        <v>55.12</v>
      </c>
      <c r="O75" s="5">
        <v>55.77</v>
      </c>
      <c r="P75" s="5">
        <v>0.3</v>
      </c>
      <c r="Q75" s="5">
        <v>0.08</v>
      </c>
      <c r="R75" s="5">
        <v>0.22</v>
      </c>
      <c r="S75" s="8">
        <v>1.0117924528301887</v>
      </c>
      <c r="T75" s="5" t="s">
        <v>44</v>
      </c>
      <c r="Y75" s="5" t="s">
        <v>44</v>
      </c>
      <c r="AB75" s="9" t="s">
        <v>44</v>
      </c>
      <c r="AC75" s="2" t="s">
        <v>46</v>
      </c>
      <c r="AD75" s="2">
        <v>0</v>
      </c>
      <c r="AE75" s="2" t="s">
        <v>49</v>
      </c>
      <c r="AF75" s="2" t="s">
        <v>85</v>
      </c>
      <c r="AG75" s="5">
        <v>1</v>
      </c>
      <c r="AH75" s="5" t="s">
        <v>88</v>
      </c>
      <c r="AI75" s="5" t="s">
        <v>88</v>
      </c>
      <c r="AJ75" s="5">
        <v>13</v>
      </c>
      <c r="AK75" s="5" t="s">
        <v>34</v>
      </c>
    </row>
    <row r="76" spans="1:37" x14ac:dyDescent="0.3">
      <c r="A76" s="5">
        <v>79</v>
      </c>
      <c r="B76" s="5" t="s">
        <v>39</v>
      </c>
      <c r="C76" s="5">
        <v>40</v>
      </c>
      <c r="D76" s="2">
        <v>15</v>
      </c>
      <c r="E76" s="5">
        <v>177</v>
      </c>
      <c r="F76" s="5">
        <v>76</v>
      </c>
      <c r="G76" s="6">
        <v>24.258674071946121</v>
      </c>
      <c r="H76" s="9" t="s">
        <v>33</v>
      </c>
      <c r="I76" s="2">
        <v>32</v>
      </c>
      <c r="J76" s="5" t="s">
        <v>44</v>
      </c>
      <c r="K76" s="5" t="s">
        <v>44</v>
      </c>
      <c r="L76" s="5" t="s">
        <v>44</v>
      </c>
      <c r="M76" s="5" t="s">
        <v>44</v>
      </c>
      <c r="N76" s="5">
        <v>39.299999999999997</v>
      </c>
      <c r="O76" s="5">
        <v>36.299999999999997</v>
      </c>
      <c r="P76" s="5">
        <v>0.94</v>
      </c>
      <c r="Q76" s="5">
        <v>0.27</v>
      </c>
      <c r="R76" s="5">
        <v>0.67</v>
      </c>
      <c r="S76" s="8">
        <v>0.92366412213740456</v>
      </c>
      <c r="T76" s="5" t="s">
        <v>44</v>
      </c>
      <c r="Y76" s="5" t="s">
        <v>44</v>
      </c>
      <c r="AB76" s="9" t="s">
        <v>44</v>
      </c>
      <c r="AC76" s="2" t="s">
        <v>46</v>
      </c>
      <c r="AD76" s="2">
        <v>0</v>
      </c>
      <c r="AE76" s="2" t="s">
        <v>49</v>
      </c>
      <c r="AF76" s="2" t="s">
        <v>33</v>
      </c>
      <c r="AG76" s="5">
        <v>0</v>
      </c>
      <c r="AH76" s="5" t="s">
        <v>33</v>
      </c>
      <c r="AI76" s="5" t="s">
        <v>33</v>
      </c>
      <c r="AJ76" s="5">
        <v>7</v>
      </c>
      <c r="AK76" s="5" t="s">
        <v>34</v>
      </c>
    </row>
    <row r="77" spans="1:37" x14ac:dyDescent="0.3">
      <c r="A77" s="5">
        <v>80</v>
      </c>
      <c r="B77" s="5" t="s">
        <v>39</v>
      </c>
      <c r="C77" s="5">
        <v>29</v>
      </c>
      <c r="D77" s="2">
        <v>4</v>
      </c>
      <c r="E77" s="5">
        <v>172</v>
      </c>
      <c r="F77" s="5">
        <v>69</v>
      </c>
      <c r="G77" s="6">
        <v>23.323418063818281</v>
      </c>
      <c r="H77" s="9" t="s">
        <v>33</v>
      </c>
      <c r="I77" s="2">
        <v>32</v>
      </c>
      <c r="J77" s="5" t="s">
        <v>44</v>
      </c>
      <c r="K77" s="5" t="s">
        <v>44</v>
      </c>
      <c r="L77" s="5" t="s">
        <v>44</v>
      </c>
      <c r="M77" s="5" t="s">
        <v>44</v>
      </c>
      <c r="N77" s="5">
        <v>18</v>
      </c>
      <c r="O77" s="5">
        <v>35.200000000000003</v>
      </c>
      <c r="P77" s="5">
        <v>1.02</v>
      </c>
      <c r="Q77" s="5">
        <v>0.11</v>
      </c>
      <c r="R77" s="5">
        <v>0.91</v>
      </c>
      <c r="S77" s="8">
        <v>1.9555555555555557</v>
      </c>
      <c r="T77" s="5" t="s">
        <v>44</v>
      </c>
      <c r="Y77" s="5" t="s">
        <v>44</v>
      </c>
      <c r="AB77" s="9" t="s">
        <v>44</v>
      </c>
      <c r="AC77" s="2" t="s">
        <v>46</v>
      </c>
      <c r="AD77" s="2">
        <v>0</v>
      </c>
      <c r="AE77" s="2" t="s">
        <v>52</v>
      </c>
      <c r="AF77" s="2" t="s">
        <v>33</v>
      </c>
      <c r="AG77" s="5">
        <v>0</v>
      </c>
      <c r="AH77" s="5" t="s">
        <v>33</v>
      </c>
      <c r="AI77" s="5" t="s">
        <v>33</v>
      </c>
      <c r="AJ77" s="5">
        <v>7</v>
      </c>
      <c r="AK77" s="5" t="s">
        <v>34</v>
      </c>
    </row>
    <row r="78" spans="1:37" x14ac:dyDescent="0.3">
      <c r="A78" s="5">
        <v>81</v>
      </c>
      <c r="B78" s="5" t="s">
        <v>39</v>
      </c>
      <c r="C78" s="5">
        <v>41</v>
      </c>
      <c r="D78" s="2">
        <v>20</v>
      </c>
      <c r="E78" s="5">
        <v>167</v>
      </c>
      <c r="F78" s="5">
        <v>75</v>
      </c>
      <c r="G78" s="6">
        <v>26.892323138154829</v>
      </c>
      <c r="H78" s="9" t="s">
        <v>42</v>
      </c>
      <c r="I78" s="2">
        <v>32</v>
      </c>
      <c r="J78" s="5" t="s">
        <v>44</v>
      </c>
      <c r="K78" s="5" t="s">
        <v>44</v>
      </c>
      <c r="L78" s="5" t="s">
        <v>44</v>
      </c>
      <c r="M78" s="5" t="s">
        <v>44</v>
      </c>
      <c r="N78" s="5">
        <v>23.1</v>
      </c>
      <c r="O78" s="5">
        <v>35.200000000000003</v>
      </c>
      <c r="P78" s="5">
        <v>0.74</v>
      </c>
      <c r="Q78" s="5">
        <v>0.05</v>
      </c>
      <c r="R78" s="5">
        <v>0.69</v>
      </c>
      <c r="S78" s="8">
        <v>1.5238095238095239</v>
      </c>
      <c r="T78" s="5" t="s">
        <v>44</v>
      </c>
      <c r="Y78" s="5" t="s">
        <v>44</v>
      </c>
      <c r="AB78" s="9" t="s">
        <v>44</v>
      </c>
      <c r="AC78" s="2" t="s">
        <v>47</v>
      </c>
      <c r="AD78" s="2">
        <v>0</v>
      </c>
      <c r="AE78" s="2" t="s">
        <v>52</v>
      </c>
      <c r="AF78" s="2" t="s">
        <v>33</v>
      </c>
      <c r="AG78" s="5">
        <v>0</v>
      </c>
      <c r="AH78" s="5" t="s">
        <v>33</v>
      </c>
      <c r="AI78" s="5" t="s">
        <v>33</v>
      </c>
      <c r="AJ78" s="5">
        <v>10</v>
      </c>
      <c r="AK78" s="5" t="s">
        <v>34</v>
      </c>
    </row>
    <row r="79" spans="1:37" x14ac:dyDescent="0.3">
      <c r="A79" s="5">
        <v>82</v>
      </c>
      <c r="B79" s="5" t="s">
        <v>39</v>
      </c>
      <c r="C79" s="5">
        <v>52</v>
      </c>
      <c r="D79" s="2">
        <v>23</v>
      </c>
      <c r="E79" s="5">
        <v>153</v>
      </c>
      <c r="F79" s="5">
        <v>73</v>
      </c>
      <c r="G79" s="6">
        <v>31.184587124610193</v>
      </c>
      <c r="H79" s="9" t="s">
        <v>41</v>
      </c>
      <c r="I79" s="2">
        <v>32</v>
      </c>
      <c r="J79" s="5" t="s">
        <v>44</v>
      </c>
      <c r="K79" s="5" t="s">
        <v>44</v>
      </c>
      <c r="L79" s="5" t="s">
        <v>44</v>
      </c>
      <c r="M79" s="5" t="s">
        <v>45</v>
      </c>
      <c r="N79" s="5">
        <v>23.6</v>
      </c>
      <c r="O79" s="5">
        <v>43.8</v>
      </c>
      <c r="P79" s="5">
        <v>0.55000000000000004</v>
      </c>
      <c r="Q79" s="5">
        <v>0.13</v>
      </c>
      <c r="R79" s="5">
        <v>0.42</v>
      </c>
      <c r="S79" s="8">
        <v>1.8559322033898302</v>
      </c>
      <c r="T79" s="5" t="s">
        <v>44</v>
      </c>
      <c r="Y79" s="5" t="s">
        <v>44</v>
      </c>
      <c r="AB79" s="9" t="s">
        <v>44</v>
      </c>
      <c r="AC79" s="2" t="s">
        <v>47</v>
      </c>
      <c r="AD79" s="2">
        <v>0</v>
      </c>
      <c r="AE79" s="2" t="s">
        <v>49</v>
      </c>
      <c r="AF79" s="2" t="s">
        <v>85</v>
      </c>
      <c r="AG79" s="5">
        <v>1</v>
      </c>
      <c r="AH79" s="5" t="s">
        <v>37</v>
      </c>
      <c r="AI79" s="5" t="s">
        <v>37</v>
      </c>
      <c r="AJ79" s="5">
        <v>25</v>
      </c>
      <c r="AK79" s="5" t="s">
        <v>35</v>
      </c>
    </row>
    <row r="80" spans="1:37" x14ac:dyDescent="0.3">
      <c r="A80" s="5">
        <v>83</v>
      </c>
      <c r="B80" s="5" t="s">
        <v>39</v>
      </c>
      <c r="C80" s="5">
        <v>49</v>
      </c>
      <c r="D80" s="2">
        <v>23</v>
      </c>
      <c r="E80" s="5">
        <v>175</v>
      </c>
      <c r="F80" s="5">
        <v>91</v>
      </c>
      <c r="G80" s="6">
        <v>29.714285714285715</v>
      </c>
      <c r="H80" s="9" t="s">
        <v>42</v>
      </c>
      <c r="I80" s="2">
        <v>42</v>
      </c>
      <c r="J80" s="5" t="s">
        <v>44</v>
      </c>
      <c r="K80" s="5" t="s">
        <v>44</v>
      </c>
      <c r="L80" s="5" t="s">
        <v>44</v>
      </c>
      <c r="M80" s="5" t="s">
        <v>44</v>
      </c>
      <c r="N80" s="5">
        <v>35.5</v>
      </c>
      <c r="O80" s="5">
        <v>49.2</v>
      </c>
      <c r="P80" s="5">
        <v>0.51</v>
      </c>
      <c r="Q80" s="5">
        <v>0.03</v>
      </c>
      <c r="R80" s="5">
        <v>0.48</v>
      </c>
      <c r="S80" s="8">
        <v>1.3859154929577466</v>
      </c>
      <c r="T80" s="5" t="s">
        <v>44</v>
      </c>
      <c r="Y80" s="5" t="s">
        <v>44</v>
      </c>
      <c r="AB80" s="9" t="s">
        <v>44</v>
      </c>
      <c r="AC80" s="2" t="s">
        <v>46</v>
      </c>
      <c r="AD80" s="2">
        <v>0</v>
      </c>
      <c r="AE80" s="2" t="s">
        <v>48</v>
      </c>
      <c r="AF80" s="2" t="s">
        <v>85</v>
      </c>
      <c r="AG80" s="5">
        <v>1</v>
      </c>
      <c r="AH80" s="5" t="s">
        <v>37</v>
      </c>
      <c r="AI80" s="5" t="s">
        <v>37</v>
      </c>
      <c r="AJ80" s="5">
        <v>19</v>
      </c>
      <c r="AK80" s="5" t="s">
        <v>34</v>
      </c>
    </row>
    <row r="81" spans="1:37" x14ac:dyDescent="0.3">
      <c r="A81" s="5">
        <v>84</v>
      </c>
      <c r="B81" s="5" t="s">
        <v>39</v>
      </c>
      <c r="C81" s="5">
        <v>41</v>
      </c>
      <c r="D81" s="2">
        <v>16</v>
      </c>
      <c r="E81" s="5">
        <v>160</v>
      </c>
      <c r="F81" s="5">
        <v>70</v>
      </c>
      <c r="G81" s="6">
        <v>27.34375</v>
      </c>
      <c r="H81" s="9" t="s">
        <v>42</v>
      </c>
      <c r="I81" s="2">
        <v>32</v>
      </c>
      <c r="J81" s="5" t="s">
        <v>44</v>
      </c>
      <c r="K81" s="5" t="s">
        <v>44</v>
      </c>
      <c r="L81" s="5" t="s">
        <v>44</v>
      </c>
      <c r="M81" s="5" t="s">
        <v>44</v>
      </c>
      <c r="N81" s="5">
        <v>35.700000000000003</v>
      </c>
      <c r="O81" s="5">
        <v>38.9</v>
      </c>
      <c r="P81" s="5">
        <v>0.41</v>
      </c>
      <c r="Q81" s="5">
        <v>7.0000000000000007E-2</v>
      </c>
      <c r="R81" s="5">
        <v>0.34</v>
      </c>
      <c r="S81" s="8">
        <v>1.0896358543417366</v>
      </c>
      <c r="T81" s="5" t="s">
        <v>44</v>
      </c>
      <c r="Y81" s="5" t="s">
        <v>44</v>
      </c>
      <c r="AB81" s="9" t="s">
        <v>44</v>
      </c>
      <c r="AC81" s="2" t="s">
        <v>46</v>
      </c>
      <c r="AD81" s="2">
        <v>1</v>
      </c>
      <c r="AE81" s="2" t="s">
        <v>48</v>
      </c>
      <c r="AF81" s="2" t="s">
        <v>33</v>
      </c>
      <c r="AG81" s="5">
        <v>0</v>
      </c>
      <c r="AH81" s="5" t="s">
        <v>33</v>
      </c>
      <c r="AI81" s="5" t="s">
        <v>33</v>
      </c>
      <c r="AJ81" s="5">
        <v>11</v>
      </c>
      <c r="AK81" s="5" t="s">
        <v>34</v>
      </c>
    </row>
    <row r="82" spans="1:37" x14ac:dyDescent="0.3">
      <c r="A82" s="5">
        <v>85</v>
      </c>
      <c r="B82" s="5" t="s">
        <v>39</v>
      </c>
      <c r="C82" s="5">
        <v>39</v>
      </c>
      <c r="D82" s="2">
        <v>14</v>
      </c>
      <c r="E82" s="5">
        <v>163</v>
      </c>
      <c r="F82" s="5">
        <v>63</v>
      </c>
      <c r="G82" s="6">
        <v>23.711844630960893</v>
      </c>
      <c r="H82" s="9" t="s">
        <v>33</v>
      </c>
      <c r="I82" s="2">
        <v>34</v>
      </c>
      <c r="J82" s="5" t="s">
        <v>44</v>
      </c>
      <c r="K82" s="5" t="s">
        <v>44</v>
      </c>
      <c r="L82" s="5" t="s">
        <v>45</v>
      </c>
      <c r="M82" s="5" t="s">
        <v>44</v>
      </c>
      <c r="N82" s="5">
        <v>25.4</v>
      </c>
      <c r="O82" s="5">
        <v>46.8</v>
      </c>
      <c r="P82" s="5">
        <v>0.44</v>
      </c>
      <c r="Q82" s="5">
        <v>0.05</v>
      </c>
      <c r="R82" s="5">
        <v>0.39</v>
      </c>
      <c r="S82" s="8">
        <v>1.8425196850393701</v>
      </c>
      <c r="T82" s="5" t="s">
        <v>44</v>
      </c>
      <c r="Y82" s="5" t="s">
        <v>44</v>
      </c>
      <c r="AB82" s="9" t="s">
        <v>44</v>
      </c>
      <c r="AC82" s="2" t="s">
        <v>46</v>
      </c>
      <c r="AD82" s="2">
        <v>0</v>
      </c>
      <c r="AE82" s="2" t="s">
        <v>52</v>
      </c>
      <c r="AF82" s="2" t="s">
        <v>85</v>
      </c>
      <c r="AG82" s="5">
        <v>1</v>
      </c>
      <c r="AH82" s="5" t="s">
        <v>88</v>
      </c>
      <c r="AI82" s="5" t="s">
        <v>88</v>
      </c>
      <c r="AJ82" s="5">
        <v>13</v>
      </c>
      <c r="AK82" s="5" t="s">
        <v>34</v>
      </c>
    </row>
    <row r="83" spans="1:37" x14ac:dyDescent="0.3">
      <c r="A83" s="5">
        <v>86</v>
      </c>
      <c r="B83" s="5" t="s">
        <v>39</v>
      </c>
      <c r="C83" s="5">
        <v>34</v>
      </c>
      <c r="D83" s="2">
        <v>10</v>
      </c>
      <c r="E83" s="5">
        <v>165</v>
      </c>
      <c r="F83" s="5">
        <v>69</v>
      </c>
      <c r="G83" s="6">
        <v>25.344352617079888</v>
      </c>
      <c r="H83" s="9" t="s">
        <v>42</v>
      </c>
      <c r="I83" s="2">
        <v>30</v>
      </c>
      <c r="J83" s="5" t="s">
        <v>44</v>
      </c>
      <c r="K83" s="5" t="s">
        <v>44</v>
      </c>
      <c r="L83" s="5" t="s">
        <v>44</v>
      </c>
      <c r="M83" s="5" t="s">
        <v>44</v>
      </c>
      <c r="N83" s="5">
        <v>38.9</v>
      </c>
      <c r="O83" s="5">
        <v>32.6</v>
      </c>
      <c r="P83" s="5">
        <v>0.34</v>
      </c>
      <c r="Q83" s="5">
        <v>0.12</v>
      </c>
      <c r="R83" s="5">
        <v>0.22</v>
      </c>
      <c r="S83" s="8">
        <v>0.83804627249357333</v>
      </c>
      <c r="T83" s="5" t="s">
        <v>44</v>
      </c>
      <c r="Y83" s="5" t="s">
        <v>44</v>
      </c>
      <c r="AB83" s="9" t="s">
        <v>44</v>
      </c>
      <c r="AC83" s="2" t="s">
        <v>46</v>
      </c>
      <c r="AD83" s="2">
        <v>0</v>
      </c>
      <c r="AE83" s="2" t="s">
        <v>49</v>
      </c>
      <c r="AF83" s="2" t="s">
        <v>33</v>
      </c>
      <c r="AG83" s="5">
        <v>0</v>
      </c>
      <c r="AH83" s="5" t="s">
        <v>33</v>
      </c>
      <c r="AI83" s="5" t="s">
        <v>33</v>
      </c>
      <c r="AJ83" s="5">
        <v>11</v>
      </c>
      <c r="AK83" s="5" t="s">
        <v>34</v>
      </c>
    </row>
    <row r="84" spans="1:37" ht="72" x14ac:dyDescent="0.3">
      <c r="A84" s="5">
        <v>87</v>
      </c>
      <c r="B84" s="5" t="s">
        <v>39</v>
      </c>
      <c r="C84" s="5">
        <v>42</v>
      </c>
      <c r="D84" s="2">
        <v>18</v>
      </c>
      <c r="E84" s="5">
        <v>181</v>
      </c>
      <c r="F84" s="5">
        <v>82</v>
      </c>
      <c r="G84" s="6">
        <v>25.029760996306585</v>
      </c>
      <c r="H84" s="9" t="s">
        <v>42</v>
      </c>
      <c r="I84" s="2">
        <v>40</v>
      </c>
      <c r="J84" s="5" t="s">
        <v>44</v>
      </c>
      <c r="K84" s="5" t="s">
        <v>44</v>
      </c>
      <c r="L84" s="5" t="s">
        <v>44</v>
      </c>
      <c r="M84" s="5" t="s">
        <v>45</v>
      </c>
      <c r="N84" s="5">
        <v>31.63</v>
      </c>
      <c r="O84" s="5">
        <v>18.440000000000001</v>
      </c>
      <c r="P84" s="5">
        <v>0.51</v>
      </c>
      <c r="Q84" s="5">
        <v>0.06</v>
      </c>
      <c r="R84" s="5">
        <v>0.45</v>
      </c>
      <c r="S84" s="8">
        <v>0.5829908314890927</v>
      </c>
      <c r="T84" s="5" t="s">
        <v>45</v>
      </c>
      <c r="U84" s="5" t="s">
        <v>55</v>
      </c>
      <c r="V84" s="5" t="s">
        <v>60</v>
      </c>
      <c r="W84" s="5" t="s">
        <v>65</v>
      </c>
      <c r="X84" s="5" t="s">
        <v>69</v>
      </c>
      <c r="Y84" s="5" t="s">
        <v>44</v>
      </c>
      <c r="AB84" s="9" t="s">
        <v>44</v>
      </c>
      <c r="AC84" s="2" t="s">
        <v>46</v>
      </c>
      <c r="AD84" s="2">
        <v>0</v>
      </c>
      <c r="AE84" s="2" t="s">
        <v>49</v>
      </c>
      <c r="AF84" s="2" t="s">
        <v>33</v>
      </c>
      <c r="AG84" s="5">
        <v>0</v>
      </c>
      <c r="AH84" s="5" t="s">
        <v>33</v>
      </c>
      <c r="AI84" s="5" t="s">
        <v>33</v>
      </c>
      <c r="AJ84" s="5">
        <v>27</v>
      </c>
      <c r="AK84" s="5" t="s">
        <v>35</v>
      </c>
    </row>
    <row r="85" spans="1:37" x14ac:dyDescent="0.3">
      <c r="A85" s="5">
        <v>88</v>
      </c>
      <c r="B85" s="5" t="s">
        <v>39</v>
      </c>
      <c r="C85" s="5">
        <v>36</v>
      </c>
      <c r="D85" s="2">
        <v>10</v>
      </c>
      <c r="E85" s="5">
        <v>153</v>
      </c>
      <c r="F85" s="5">
        <v>72</v>
      </c>
      <c r="G85" s="6">
        <v>30.8</v>
      </c>
      <c r="H85" s="9" t="s">
        <v>41</v>
      </c>
      <c r="I85" s="2">
        <v>32</v>
      </c>
      <c r="J85" s="5" t="s">
        <v>44</v>
      </c>
      <c r="K85" s="5" t="s">
        <v>44</v>
      </c>
      <c r="L85" s="5" t="s">
        <v>44</v>
      </c>
      <c r="M85" s="5" t="s">
        <v>44</v>
      </c>
      <c r="N85" s="5">
        <v>28.8</v>
      </c>
      <c r="O85" s="5">
        <v>49.8</v>
      </c>
      <c r="P85" s="5">
        <v>0.32</v>
      </c>
      <c r="Q85" s="5">
        <v>7.0000000000000007E-2</v>
      </c>
      <c r="R85" s="5">
        <v>0.25</v>
      </c>
      <c r="S85" s="8">
        <v>1.7291666666666665</v>
      </c>
      <c r="T85" s="5" t="s">
        <v>44</v>
      </c>
      <c r="Y85" s="5" t="s">
        <v>44</v>
      </c>
      <c r="AB85" s="9" t="s">
        <v>44</v>
      </c>
      <c r="AC85" s="2" t="s">
        <v>46</v>
      </c>
      <c r="AD85" s="2">
        <v>0</v>
      </c>
      <c r="AE85" s="2" t="s">
        <v>48</v>
      </c>
      <c r="AF85" s="2" t="s">
        <v>85</v>
      </c>
      <c r="AG85" s="5">
        <v>1</v>
      </c>
      <c r="AH85" s="5" t="s">
        <v>37</v>
      </c>
      <c r="AI85" s="5" t="s">
        <v>37</v>
      </c>
      <c r="AJ85" s="5">
        <v>21</v>
      </c>
      <c r="AK85" s="5" t="s">
        <v>35</v>
      </c>
    </row>
    <row r="86" spans="1:37" x14ac:dyDescent="0.3">
      <c r="A86" s="5">
        <v>89</v>
      </c>
      <c r="B86" s="5" t="s">
        <v>39</v>
      </c>
      <c r="C86" s="5">
        <v>38</v>
      </c>
      <c r="D86" s="2">
        <v>16</v>
      </c>
      <c r="E86" s="5">
        <v>163</v>
      </c>
      <c r="F86" s="5">
        <v>62</v>
      </c>
      <c r="G86" s="6">
        <v>23.335466144755166</v>
      </c>
      <c r="H86" s="9" t="s">
        <v>33</v>
      </c>
      <c r="I86" s="2">
        <v>32</v>
      </c>
      <c r="J86" s="5" t="s">
        <v>44</v>
      </c>
      <c r="K86" s="5" t="s">
        <v>44</v>
      </c>
      <c r="L86" s="5" t="s">
        <v>44</v>
      </c>
      <c r="M86" s="5" t="s">
        <v>44</v>
      </c>
      <c r="N86" s="5">
        <v>28.4</v>
      </c>
      <c r="O86" s="5">
        <v>42.9</v>
      </c>
      <c r="P86" s="5">
        <v>1.64</v>
      </c>
      <c r="Q86" s="5">
        <v>0.15</v>
      </c>
      <c r="R86" s="5">
        <v>1.49</v>
      </c>
      <c r="S86" s="8">
        <v>1.5105633802816902</v>
      </c>
      <c r="T86" s="5" t="s">
        <v>44</v>
      </c>
      <c r="Y86" s="5" t="s">
        <v>44</v>
      </c>
      <c r="AB86" s="9" t="s">
        <v>44</v>
      </c>
      <c r="AC86" s="2" t="s">
        <v>47</v>
      </c>
      <c r="AD86" s="2">
        <v>0</v>
      </c>
      <c r="AE86" s="2" t="s">
        <v>49</v>
      </c>
      <c r="AF86" s="2" t="s">
        <v>85</v>
      </c>
      <c r="AG86" s="5">
        <v>1</v>
      </c>
      <c r="AH86" s="5" t="s">
        <v>87</v>
      </c>
      <c r="AI86" s="5" t="s">
        <v>87</v>
      </c>
      <c r="AJ86" s="5">
        <v>10</v>
      </c>
      <c r="AK86" s="5" t="s">
        <v>34</v>
      </c>
    </row>
    <row r="87" spans="1:37" x14ac:dyDescent="0.3">
      <c r="A87" s="5">
        <v>90</v>
      </c>
      <c r="B87" s="5" t="s">
        <v>39</v>
      </c>
      <c r="C87" s="5">
        <v>56</v>
      </c>
      <c r="D87" s="2">
        <v>33</v>
      </c>
      <c r="E87" s="5">
        <v>156</v>
      </c>
      <c r="F87" s="5">
        <v>65</v>
      </c>
      <c r="G87" s="6">
        <v>26.70940170940171</v>
      </c>
      <c r="H87" s="9" t="s">
        <v>42</v>
      </c>
      <c r="I87" s="2">
        <v>30</v>
      </c>
      <c r="J87" s="5" t="s">
        <v>44</v>
      </c>
      <c r="K87" s="5" t="s">
        <v>44</v>
      </c>
      <c r="L87" s="5" t="s">
        <v>44</v>
      </c>
      <c r="M87" s="5" t="s">
        <v>45</v>
      </c>
      <c r="N87" s="5">
        <v>18.5</v>
      </c>
      <c r="O87" s="5">
        <v>35.36</v>
      </c>
      <c r="P87" s="5">
        <v>0.55000000000000004</v>
      </c>
      <c r="Q87" s="5">
        <v>0.11</v>
      </c>
      <c r="R87" s="5">
        <v>0.44</v>
      </c>
      <c r="S87" s="8">
        <v>1.9113513513513514</v>
      </c>
      <c r="T87" s="5" t="s">
        <v>44</v>
      </c>
      <c r="Y87" s="5" t="s">
        <v>44</v>
      </c>
      <c r="AB87" s="9" t="s">
        <v>44</v>
      </c>
      <c r="AC87" s="2" t="s">
        <v>46</v>
      </c>
      <c r="AD87" s="2">
        <v>1</v>
      </c>
      <c r="AE87" s="2" t="s">
        <v>48</v>
      </c>
      <c r="AF87" s="2" t="s">
        <v>33</v>
      </c>
      <c r="AG87" s="5">
        <v>0</v>
      </c>
      <c r="AH87" s="5" t="s">
        <v>33</v>
      </c>
      <c r="AI87" s="5" t="s">
        <v>33</v>
      </c>
      <c r="AJ87" s="5">
        <v>15</v>
      </c>
      <c r="AK87" s="5" t="s">
        <v>34</v>
      </c>
    </row>
    <row r="88" spans="1:37" x14ac:dyDescent="0.3">
      <c r="A88" s="5">
        <v>91</v>
      </c>
      <c r="B88" s="5" t="s">
        <v>39</v>
      </c>
      <c r="C88" s="5">
        <v>43</v>
      </c>
      <c r="D88" s="2">
        <v>20</v>
      </c>
      <c r="E88" s="5">
        <v>163</v>
      </c>
      <c r="F88" s="5">
        <v>73</v>
      </c>
      <c r="G88" s="6">
        <v>27.475629493018179</v>
      </c>
      <c r="H88" s="9" t="s">
        <v>42</v>
      </c>
      <c r="I88" s="2">
        <v>32</v>
      </c>
      <c r="J88" s="5" t="s">
        <v>44</v>
      </c>
      <c r="K88" s="5" t="s">
        <v>44</v>
      </c>
      <c r="L88" s="5" t="s">
        <v>44</v>
      </c>
      <c r="M88" s="5" t="s">
        <v>44</v>
      </c>
      <c r="N88" s="5">
        <v>27.21</v>
      </c>
      <c r="O88" s="5">
        <v>47.01</v>
      </c>
      <c r="P88" s="5">
        <v>0.43</v>
      </c>
      <c r="Q88" s="5">
        <v>0.08</v>
      </c>
      <c r="R88" s="5">
        <v>0.35</v>
      </c>
      <c r="S88" s="8">
        <v>1.7276736493936051</v>
      </c>
      <c r="T88" s="5" t="s">
        <v>44</v>
      </c>
      <c r="Y88" s="5" t="s">
        <v>44</v>
      </c>
      <c r="AB88" s="9" t="s">
        <v>44</v>
      </c>
      <c r="AC88" s="2" t="s">
        <v>47</v>
      </c>
      <c r="AD88" s="2">
        <v>0</v>
      </c>
      <c r="AE88" s="2" t="s">
        <v>49</v>
      </c>
      <c r="AF88" s="2" t="s">
        <v>85</v>
      </c>
      <c r="AG88" s="5">
        <v>1</v>
      </c>
      <c r="AH88" s="5" t="s">
        <v>37</v>
      </c>
      <c r="AI88" s="5" t="s">
        <v>37</v>
      </c>
      <c r="AJ88" s="5">
        <v>13</v>
      </c>
      <c r="AK88" s="5" t="s">
        <v>34</v>
      </c>
    </row>
    <row r="89" spans="1:37" ht="28.8" x14ac:dyDescent="0.3">
      <c r="A89" s="5">
        <v>92</v>
      </c>
      <c r="B89" s="5" t="s">
        <v>39</v>
      </c>
      <c r="C89" s="5">
        <v>44</v>
      </c>
      <c r="D89" s="2">
        <v>17</v>
      </c>
      <c r="E89" s="5">
        <v>168</v>
      </c>
      <c r="F89" s="5">
        <v>72</v>
      </c>
      <c r="G89" s="6">
        <v>25.510204081632651</v>
      </c>
      <c r="H89" s="9" t="s">
        <v>42</v>
      </c>
      <c r="I89" s="2">
        <v>34</v>
      </c>
      <c r="J89" s="5" t="s">
        <v>44</v>
      </c>
      <c r="K89" s="5" t="s">
        <v>44</v>
      </c>
      <c r="L89" s="5" t="s">
        <v>45</v>
      </c>
      <c r="M89" s="5" t="s">
        <v>44</v>
      </c>
      <c r="N89" s="5">
        <v>25.45</v>
      </c>
      <c r="O89" s="5">
        <v>50.07</v>
      </c>
      <c r="P89" s="5">
        <v>0.62</v>
      </c>
      <c r="Q89" s="5">
        <v>0.1</v>
      </c>
      <c r="R89" s="5">
        <v>0.52</v>
      </c>
      <c r="S89" s="8">
        <v>1.9673870333988213</v>
      </c>
      <c r="T89" s="5" t="s">
        <v>45</v>
      </c>
      <c r="U89" s="5" t="s">
        <v>57</v>
      </c>
      <c r="V89" s="5" t="s">
        <v>60</v>
      </c>
      <c r="W89" s="5" t="s">
        <v>65</v>
      </c>
      <c r="X89" s="5" t="s">
        <v>68</v>
      </c>
      <c r="Y89" s="5" t="s">
        <v>44</v>
      </c>
      <c r="AB89" s="9" t="s">
        <v>44</v>
      </c>
      <c r="AC89" s="2" t="s">
        <v>46</v>
      </c>
      <c r="AD89" s="2">
        <v>0</v>
      </c>
      <c r="AE89" s="2" t="s">
        <v>49</v>
      </c>
      <c r="AF89" s="2" t="s">
        <v>85</v>
      </c>
      <c r="AG89" s="5">
        <v>1</v>
      </c>
      <c r="AH89" s="5" t="s">
        <v>88</v>
      </c>
      <c r="AI89" s="5" t="s">
        <v>88</v>
      </c>
      <c r="AJ89" s="5">
        <v>29</v>
      </c>
      <c r="AK89" s="5" t="s">
        <v>35</v>
      </c>
    </row>
    <row r="90" spans="1:37" x14ac:dyDescent="0.3">
      <c r="A90" s="5">
        <v>93</v>
      </c>
      <c r="B90" s="5" t="s">
        <v>39</v>
      </c>
      <c r="C90" s="5">
        <v>39</v>
      </c>
      <c r="D90" s="2">
        <v>16</v>
      </c>
      <c r="E90" s="5">
        <v>163</v>
      </c>
      <c r="F90" s="5">
        <v>60</v>
      </c>
      <c r="G90" s="6">
        <v>22.582709172343712</v>
      </c>
      <c r="H90" s="9" t="s">
        <v>33</v>
      </c>
      <c r="I90" s="2">
        <v>30</v>
      </c>
      <c r="J90" s="5" t="s">
        <v>44</v>
      </c>
      <c r="K90" s="5" t="s">
        <v>44</v>
      </c>
      <c r="L90" s="5" t="s">
        <v>45</v>
      </c>
      <c r="M90" s="5" t="s">
        <v>44</v>
      </c>
      <c r="N90" s="5">
        <v>18.39</v>
      </c>
      <c r="O90" s="5">
        <v>37.44</v>
      </c>
      <c r="P90" s="5">
        <v>0.31</v>
      </c>
      <c r="Q90" s="5">
        <v>0.06</v>
      </c>
      <c r="R90" s="5">
        <v>0.25</v>
      </c>
      <c r="S90" s="8">
        <v>2.0358890701468186</v>
      </c>
      <c r="T90" s="5" t="s">
        <v>44</v>
      </c>
      <c r="Y90" s="5" t="s">
        <v>44</v>
      </c>
      <c r="AB90" s="9" t="s">
        <v>44</v>
      </c>
      <c r="AC90" s="2" t="s">
        <v>47</v>
      </c>
      <c r="AD90" s="2">
        <v>0</v>
      </c>
      <c r="AE90" s="2" t="s">
        <v>49</v>
      </c>
      <c r="AF90" s="2" t="s">
        <v>33</v>
      </c>
      <c r="AG90" s="5">
        <v>0</v>
      </c>
      <c r="AH90" s="5" t="s">
        <v>33</v>
      </c>
      <c r="AI90" s="5" t="s">
        <v>33</v>
      </c>
      <c r="AJ90" s="5">
        <v>8</v>
      </c>
      <c r="AK90" s="5" t="s">
        <v>34</v>
      </c>
    </row>
    <row r="91" spans="1:37" ht="28.8" x14ac:dyDescent="0.3">
      <c r="A91" s="5">
        <v>94</v>
      </c>
      <c r="B91" s="5" t="s">
        <v>39</v>
      </c>
      <c r="C91" s="5">
        <v>32</v>
      </c>
      <c r="D91" s="2">
        <v>10</v>
      </c>
      <c r="E91" s="5">
        <v>173</v>
      </c>
      <c r="F91" s="5">
        <v>70</v>
      </c>
      <c r="G91" s="6">
        <v>23.388686558187711</v>
      </c>
      <c r="H91" s="9" t="s">
        <v>33</v>
      </c>
      <c r="I91" s="2">
        <v>30</v>
      </c>
      <c r="J91" s="5" t="s">
        <v>44</v>
      </c>
      <c r="K91" s="5" t="s">
        <v>44</v>
      </c>
      <c r="L91" s="5" t="s">
        <v>44</v>
      </c>
      <c r="M91" s="5" t="s">
        <v>44</v>
      </c>
      <c r="N91" s="5">
        <v>15.9</v>
      </c>
      <c r="O91" s="5">
        <v>38.6</v>
      </c>
      <c r="P91" s="5">
        <v>0.71</v>
      </c>
      <c r="Q91" s="5">
        <v>0.15</v>
      </c>
      <c r="R91" s="5">
        <v>0.56000000000000005</v>
      </c>
      <c r="S91" s="8">
        <v>2.4276729559748427</v>
      </c>
      <c r="T91" s="5" t="s">
        <v>45</v>
      </c>
      <c r="U91" s="5" t="s">
        <v>57</v>
      </c>
      <c r="V91" s="5" t="s">
        <v>61</v>
      </c>
      <c r="W91" s="5" t="s">
        <v>65</v>
      </c>
      <c r="X91" s="5" t="s">
        <v>67</v>
      </c>
      <c r="Y91" s="5" t="s">
        <v>44</v>
      </c>
      <c r="AB91" s="9" t="s">
        <v>44</v>
      </c>
      <c r="AC91" s="2" t="s">
        <v>46</v>
      </c>
      <c r="AD91" s="2">
        <v>0</v>
      </c>
      <c r="AE91" s="2" t="s">
        <v>48</v>
      </c>
      <c r="AF91" s="2" t="s">
        <v>33</v>
      </c>
      <c r="AG91" s="5">
        <v>0</v>
      </c>
      <c r="AH91" s="5" t="s">
        <v>33</v>
      </c>
      <c r="AI91" s="5" t="s">
        <v>33</v>
      </c>
      <c r="AJ91" s="5">
        <v>11</v>
      </c>
      <c r="AK91" s="5" t="s">
        <v>34</v>
      </c>
    </row>
    <row r="92" spans="1:37" x14ac:dyDescent="0.3">
      <c r="A92" s="5">
        <v>95</v>
      </c>
      <c r="B92" s="5" t="s">
        <v>39</v>
      </c>
      <c r="C92" s="5">
        <v>42</v>
      </c>
      <c r="D92" s="2">
        <v>22</v>
      </c>
      <c r="E92" s="5">
        <v>163</v>
      </c>
      <c r="F92" s="5">
        <v>72</v>
      </c>
      <c r="G92" s="6">
        <v>27.099251006812452</v>
      </c>
      <c r="H92" s="9" t="s">
        <v>42</v>
      </c>
      <c r="I92" s="2">
        <v>32</v>
      </c>
      <c r="J92" s="5" t="s">
        <v>44</v>
      </c>
      <c r="K92" s="5" t="s">
        <v>44</v>
      </c>
      <c r="L92" s="5" t="s">
        <v>44</v>
      </c>
      <c r="M92" s="5" t="s">
        <v>44</v>
      </c>
      <c r="N92" s="5">
        <v>22.9</v>
      </c>
      <c r="O92" s="5">
        <v>56.9</v>
      </c>
      <c r="P92" s="5">
        <v>1.06</v>
      </c>
      <c r="Q92" s="5">
        <v>0.17</v>
      </c>
      <c r="R92" s="5">
        <v>0.89</v>
      </c>
      <c r="S92" s="8">
        <v>2.4847161572052401</v>
      </c>
      <c r="T92" s="5" t="s">
        <v>44</v>
      </c>
      <c r="Y92" s="5" t="s">
        <v>44</v>
      </c>
      <c r="AB92" s="9" t="s">
        <v>44</v>
      </c>
      <c r="AC92" s="2" t="s">
        <v>47</v>
      </c>
      <c r="AD92" s="2">
        <v>0</v>
      </c>
      <c r="AE92" s="2" t="s">
        <v>49</v>
      </c>
      <c r="AF92" s="2" t="s">
        <v>85</v>
      </c>
      <c r="AG92" s="5">
        <v>1</v>
      </c>
      <c r="AH92" s="5" t="s">
        <v>36</v>
      </c>
      <c r="AI92" s="5" t="s">
        <v>86</v>
      </c>
      <c r="AJ92" s="5">
        <v>14</v>
      </c>
      <c r="AK92" s="5" t="s">
        <v>34</v>
      </c>
    </row>
    <row r="93" spans="1:37" ht="28.8" x14ac:dyDescent="0.3">
      <c r="A93" s="5">
        <v>96</v>
      </c>
      <c r="B93" s="5" t="s">
        <v>39</v>
      </c>
      <c r="C93" s="5">
        <v>47</v>
      </c>
      <c r="D93" s="2">
        <v>22</v>
      </c>
      <c r="E93" s="5">
        <v>158</v>
      </c>
      <c r="F93" s="5">
        <v>68</v>
      </c>
      <c r="G93" s="6">
        <v>27.239224483255889</v>
      </c>
      <c r="H93" s="9" t="s">
        <v>42</v>
      </c>
      <c r="I93" s="2">
        <v>34</v>
      </c>
      <c r="J93" s="5" t="s">
        <v>44</v>
      </c>
      <c r="K93" s="5" t="s">
        <v>44</v>
      </c>
      <c r="L93" s="5" t="s">
        <v>44</v>
      </c>
      <c r="M93" s="5" t="s">
        <v>44</v>
      </c>
      <c r="N93" s="5">
        <v>24.7</v>
      </c>
      <c r="O93" s="5">
        <v>35.200000000000003</v>
      </c>
      <c r="P93" s="5">
        <v>0.42</v>
      </c>
      <c r="Q93" s="5">
        <v>0.13</v>
      </c>
      <c r="R93" s="5">
        <v>0.28999999999999998</v>
      </c>
      <c r="S93" s="8">
        <v>1.4251012145748989</v>
      </c>
      <c r="T93" s="5" t="s">
        <v>45</v>
      </c>
      <c r="U93" s="5" t="s">
        <v>57</v>
      </c>
      <c r="V93" s="5" t="s">
        <v>60</v>
      </c>
      <c r="W93" s="5" t="s">
        <v>65</v>
      </c>
      <c r="X93" s="5" t="s">
        <v>68</v>
      </c>
      <c r="Y93" s="5" t="s">
        <v>44</v>
      </c>
      <c r="AB93" s="9" t="s">
        <v>44</v>
      </c>
      <c r="AC93" s="2" t="s">
        <v>47</v>
      </c>
      <c r="AD93" s="2">
        <v>0</v>
      </c>
      <c r="AE93" s="2" t="s">
        <v>49</v>
      </c>
      <c r="AF93" s="2" t="s">
        <v>33</v>
      </c>
      <c r="AG93" s="5">
        <v>0</v>
      </c>
      <c r="AH93" s="5" t="s">
        <v>33</v>
      </c>
      <c r="AI93" s="5" t="s">
        <v>33</v>
      </c>
      <c r="AJ93" s="5">
        <v>23</v>
      </c>
      <c r="AK93" s="5" t="s">
        <v>35</v>
      </c>
    </row>
    <row r="94" spans="1:37" x14ac:dyDescent="0.3">
      <c r="A94" s="5">
        <v>97</v>
      </c>
      <c r="B94" s="5" t="s">
        <v>39</v>
      </c>
      <c r="C94" s="5">
        <v>35</v>
      </c>
      <c r="D94" s="2">
        <v>14</v>
      </c>
      <c r="E94" s="5">
        <v>168</v>
      </c>
      <c r="F94" s="5">
        <v>75</v>
      </c>
      <c r="G94" s="6">
        <v>26.573129251700678</v>
      </c>
      <c r="H94" s="9" t="s">
        <v>42</v>
      </c>
      <c r="I94" s="2">
        <v>32</v>
      </c>
      <c r="J94" s="5" t="s">
        <v>44</v>
      </c>
      <c r="K94" s="5" t="s">
        <v>44</v>
      </c>
      <c r="L94" s="5" t="s">
        <v>44</v>
      </c>
      <c r="M94" s="5" t="s">
        <v>44</v>
      </c>
      <c r="N94" s="5">
        <v>43.3</v>
      </c>
      <c r="O94" s="5">
        <v>37.6</v>
      </c>
      <c r="P94" s="5">
        <v>0.24</v>
      </c>
      <c r="Q94" s="5">
        <v>0.06</v>
      </c>
      <c r="R94" s="5">
        <v>0.18</v>
      </c>
      <c r="S94" s="8">
        <v>0.86836027713625874</v>
      </c>
      <c r="T94" s="5" t="s">
        <v>44</v>
      </c>
      <c r="Y94" s="5" t="s">
        <v>44</v>
      </c>
      <c r="AB94" s="9" t="s">
        <v>44</v>
      </c>
      <c r="AC94" s="2" t="s">
        <v>46</v>
      </c>
      <c r="AD94" s="2">
        <v>0</v>
      </c>
      <c r="AE94" s="2" t="s">
        <v>48</v>
      </c>
      <c r="AF94" s="2" t="s">
        <v>33</v>
      </c>
      <c r="AG94" s="5">
        <v>0</v>
      </c>
      <c r="AH94" s="5" t="s">
        <v>33</v>
      </c>
      <c r="AI94" s="5" t="s">
        <v>33</v>
      </c>
      <c r="AJ94" s="5">
        <v>12</v>
      </c>
      <c r="AK94" s="5" t="s">
        <v>34</v>
      </c>
    </row>
    <row r="95" spans="1:37" x14ac:dyDescent="0.3">
      <c r="A95" s="5">
        <v>98</v>
      </c>
      <c r="B95" s="5" t="s">
        <v>39</v>
      </c>
      <c r="C95" s="5">
        <v>42</v>
      </c>
      <c r="D95" s="2">
        <v>22</v>
      </c>
      <c r="E95" s="5">
        <v>160</v>
      </c>
      <c r="F95" s="5">
        <v>68</v>
      </c>
      <c r="G95" s="6">
        <v>26.562500000000004</v>
      </c>
      <c r="H95" s="9" t="s">
        <v>42</v>
      </c>
      <c r="I95" s="2">
        <v>34</v>
      </c>
      <c r="J95" s="5" t="s">
        <v>44</v>
      </c>
      <c r="K95" s="5" t="s">
        <v>44</v>
      </c>
      <c r="L95" s="5" t="s">
        <v>44</v>
      </c>
      <c r="M95" s="5" t="s">
        <v>45</v>
      </c>
      <c r="N95" s="5">
        <v>17.579999999999998</v>
      </c>
      <c r="O95" s="5">
        <v>30.3</v>
      </c>
      <c r="P95" s="5">
        <v>0.47</v>
      </c>
      <c r="Q95" s="5">
        <v>0.06</v>
      </c>
      <c r="R95" s="5">
        <v>0.41</v>
      </c>
      <c r="S95" s="8">
        <v>1.7235494880546076</v>
      </c>
      <c r="T95" s="5" t="s">
        <v>44</v>
      </c>
      <c r="Y95" s="5" t="s">
        <v>44</v>
      </c>
      <c r="AB95" s="9" t="s">
        <v>44</v>
      </c>
      <c r="AC95" s="2" t="s">
        <v>47</v>
      </c>
      <c r="AD95" s="2">
        <v>0</v>
      </c>
      <c r="AE95" s="2" t="s">
        <v>49</v>
      </c>
      <c r="AF95" s="2" t="s">
        <v>33</v>
      </c>
      <c r="AG95" s="5">
        <v>0</v>
      </c>
      <c r="AH95" s="5" t="s">
        <v>33</v>
      </c>
      <c r="AI95" s="5" t="s">
        <v>33</v>
      </c>
      <c r="AJ95" s="5">
        <v>11</v>
      </c>
      <c r="AK95" s="5" t="s">
        <v>34</v>
      </c>
    </row>
    <row r="96" spans="1:37" x14ac:dyDescent="0.3">
      <c r="A96" s="5">
        <v>99</v>
      </c>
      <c r="B96" s="5" t="s">
        <v>39</v>
      </c>
      <c r="C96" s="5">
        <v>39</v>
      </c>
      <c r="D96" s="2">
        <v>15</v>
      </c>
      <c r="E96" s="5">
        <v>175</v>
      </c>
      <c r="F96" s="5">
        <v>83</v>
      </c>
      <c r="G96" s="6">
        <v>27.102040816326532</v>
      </c>
      <c r="H96" s="9" t="s">
        <v>42</v>
      </c>
      <c r="I96" s="2">
        <v>36</v>
      </c>
      <c r="J96" s="5" t="s">
        <v>44</v>
      </c>
      <c r="K96" s="5" t="s">
        <v>44</v>
      </c>
      <c r="L96" s="5" t="s">
        <v>44</v>
      </c>
      <c r="M96" s="5" t="s">
        <v>44</v>
      </c>
      <c r="N96" s="5">
        <v>19</v>
      </c>
      <c r="O96" s="5">
        <v>35.200000000000003</v>
      </c>
      <c r="P96" s="5">
        <v>0.71</v>
      </c>
      <c r="Q96" s="5">
        <v>0.12</v>
      </c>
      <c r="R96" s="5">
        <v>0.59</v>
      </c>
      <c r="S96" s="8">
        <v>1.8526315789473686</v>
      </c>
      <c r="T96" s="5" t="s">
        <v>44</v>
      </c>
      <c r="Y96" s="5" t="s">
        <v>44</v>
      </c>
      <c r="AB96" s="9" t="s">
        <v>44</v>
      </c>
      <c r="AC96" s="2" t="s">
        <v>46</v>
      </c>
      <c r="AD96" s="2">
        <v>0</v>
      </c>
      <c r="AE96" s="2" t="s">
        <v>49</v>
      </c>
      <c r="AF96" s="2" t="s">
        <v>33</v>
      </c>
      <c r="AG96" s="5">
        <v>0</v>
      </c>
      <c r="AH96" s="5" t="s">
        <v>33</v>
      </c>
      <c r="AI96" s="5" t="s">
        <v>33</v>
      </c>
      <c r="AJ96" s="5">
        <v>12</v>
      </c>
      <c r="AK96" s="5" t="s">
        <v>34</v>
      </c>
    </row>
    <row r="97" spans="1:37" x14ac:dyDescent="0.3">
      <c r="A97" s="5">
        <v>100</v>
      </c>
      <c r="B97" s="5" t="s">
        <v>39</v>
      </c>
      <c r="C97" s="5">
        <v>56</v>
      </c>
      <c r="D97" s="2">
        <v>29</v>
      </c>
      <c r="E97" s="5">
        <v>140</v>
      </c>
      <c r="F97" s="5">
        <v>70</v>
      </c>
      <c r="G97" s="6">
        <v>35.714285714285715</v>
      </c>
      <c r="H97" s="9" t="s">
        <v>41</v>
      </c>
      <c r="I97" s="2">
        <v>30</v>
      </c>
      <c r="J97" s="5" t="s">
        <v>44</v>
      </c>
      <c r="K97" s="5" t="s">
        <v>44</v>
      </c>
      <c r="L97" s="5" t="s">
        <v>44</v>
      </c>
      <c r="M97" s="5" t="s">
        <v>44</v>
      </c>
      <c r="N97" s="5">
        <v>21.06</v>
      </c>
      <c r="O97" s="5">
        <v>36.979999999999997</v>
      </c>
      <c r="P97" s="5">
        <v>0.19</v>
      </c>
      <c r="Q97" s="5">
        <v>0.05</v>
      </c>
      <c r="R97" s="5">
        <v>0.14000000000000001</v>
      </c>
      <c r="S97" s="8">
        <v>1.7559354226020891</v>
      </c>
      <c r="T97" s="5" t="s">
        <v>44</v>
      </c>
      <c r="Y97" s="5" t="s">
        <v>44</v>
      </c>
      <c r="AB97" s="9" t="s">
        <v>44</v>
      </c>
      <c r="AC97" s="2" t="s">
        <v>47</v>
      </c>
      <c r="AD97" s="2">
        <v>0</v>
      </c>
      <c r="AE97" s="2" t="s">
        <v>49</v>
      </c>
      <c r="AF97" s="2" t="s">
        <v>33</v>
      </c>
      <c r="AG97" s="5">
        <v>0</v>
      </c>
      <c r="AH97" s="5" t="s">
        <v>33</v>
      </c>
      <c r="AI97" s="5" t="s">
        <v>33</v>
      </c>
      <c r="AJ97" s="5">
        <v>22</v>
      </c>
      <c r="AK97" s="5" t="s">
        <v>35</v>
      </c>
    </row>
    <row r="98" spans="1:37" x14ac:dyDescent="0.3">
      <c r="A98" s="5">
        <v>101</v>
      </c>
      <c r="B98" s="5" t="s">
        <v>39</v>
      </c>
      <c r="C98" s="5">
        <v>44</v>
      </c>
      <c r="D98" s="2">
        <v>17</v>
      </c>
      <c r="E98" s="5">
        <v>159</v>
      </c>
      <c r="F98" s="5">
        <v>68</v>
      </c>
      <c r="G98" s="6">
        <v>26.897670187097031</v>
      </c>
      <c r="H98" s="9" t="s">
        <v>42</v>
      </c>
      <c r="I98" s="2">
        <v>34</v>
      </c>
      <c r="J98" s="5" t="s">
        <v>44</v>
      </c>
      <c r="K98" s="5" t="s">
        <v>44</v>
      </c>
      <c r="L98" s="5" t="s">
        <v>44</v>
      </c>
      <c r="M98" s="5" t="s">
        <v>44</v>
      </c>
      <c r="N98" s="5">
        <v>85.6</v>
      </c>
      <c r="O98" s="5">
        <v>32.799999999999997</v>
      </c>
      <c r="P98" s="5">
        <v>0.67</v>
      </c>
      <c r="Q98" s="5">
        <v>0.12</v>
      </c>
      <c r="R98" s="5">
        <v>0.55000000000000004</v>
      </c>
      <c r="S98" s="8">
        <v>0.38317757009345793</v>
      </c>
      <c r="T98" s="5" t="s">
        <v>45</v>
      </c>
      <c r="U98" s="5" t="s">
        <v>55</v>
      </c>
      <c r="V98" s="5" t="s">
        <v>60</v>
      </c>
      <c r="W98" s="5" t="s">
        <v>65</v>
      </c>
      <c r="X98" s="5" t="s">
        <v>68</v>
      </c>
      <c r="Y98" s="5" t="s">
        <v>44</v>
      </c>
      <c r="AB98" s="9" t="s">
        <v>44</v>
      </c>
      <c r="AC98" s="2" t="s">
        <v>46</v>
      </c>
      <c r="AD98" s="2">
        <v>0</v>
      </c>
      <c r="AE98" s="2" t="s">
        <v>49</v>
      </c>
      <c r="AF98" s="2" t="s">
        <v>85</v>
      </c>
      <c r="AG98" s="5">
        <v>1</v>
      </c>
      <c r="AH98" s="5" t="s">
        <v>37</v>
      </c>
      <c r="AI98" s="5" t="s">
        <v>37</v>
      </c>
      <c r="AJ98" s="5">
        <v>31</v>
      </c>
      <c r="AK98" s="5" t="s">
        <v>35</v>
      </c>
    </row>
    <row r="99" spans="1:37" x14ac:dyDescent="0.3">
      <c r="A99" s="5">
        <v>102</v>
      </c>
      <c r="B99" s="5" t="s">
        <v>39</v>
      </c>
      <c r="C99" s="5">
        <v>43</v>
      </c>
      <c r="D99" s="2">
        <v>17</v>
      </c>
      <c r="E99" s="5">
        <v>160</v>
      </c>
      <c r="F99" s="5">
        <v>56</v>
      </c>
      <c r="G99" s="6">
        <v>21.875000000000004</v>
      </c>
      <c r="H99" s="9" t="s">
        <v>33</v>
      </c>
      <c r="I99" s="2">
        <v>32</v>
      </c>
      <c r="J99" s="5" t="s">
        <v>44</v>
      </c>
      <c r="K99" s="5" t="s">
        <v>44</v>
      </c>
      <c r="L99" s="5" t="s">
        <v>44</v>
      </c>
      <c r="M99" s="5" t="s">
        <v>44</v>
      </c>
      <c r="N99" s="5">
        <v>11.3</v>
      </c>
      <c r="O99" s="5">
        <v>36.200000000000003</v>
      </c>
      <c r="P99" s="5">
        <v>0.54</v>
      </c>
      <c r="Q99" s="5">
        <v>0.14000000000000001</v>
      </c>
      <c r="R99" s="5">
        <v>0.4</v>
      </c>
      <c r="S99" s="8">
        <v>3.2035398230088497</v>
      </c>
      <c r="T99" s="5" t="s">
        <v>44</v>
      </c>
      <c r="Y99" s="5" t="s">
        <v>44</v>
      </c>
      <c r="AB99" s="9" t="s">
        <v>44</v>
      </c>
      <c r="AC99" s="2" t="s">
        <v>46</v>
      </c>
      <c r="AD99" s="2">
        <v>0</v>
      </c>
      <c r="AE99" s="2" t="s">
        <v>52</v>
      </c>
      <c r="AF99" s="2" t="s">
        <v>33</v>
      </c>
      <c r="AG99" s="5">
        <v>0</v>
      </c>
      <c r="AH99" s="5" t="s">
        <v>33</v>
      </c>
      <c r="AI99" s="5" t="s">
        <v>33</v>
      </c>
      <c r="AJ99" s="5">
        <v>7</v>
      </c>
      <c r="AK99" s="5" t="s">
        <v>34</v>
      </c>
    </row>
    <row r="100" spans="1:37" x14ac:dyDescent="0.3">
      <c r="A100" s="5">
        <v>103</v>
      </c>
      <c r="B100" s="5" t="s">
        <v>39</v>
      </c>
      <c r="C100" s="5">
        <v>36</v>
      </c>
      <c r="D100" s="2">
        <v>9</v>
      </c>
      <c r="E100" s="5">
        <v>183</v>
      </c>
      <c r="F100" s="5">
        <v>94</v>
      </c>
      <c r="G100" s="6">
        <v>28.068918152229088</v>
      </c>
      <c r="H100" s="9" t="s">
        <v>42</v>
      </c>
      <c r="I100" s="2">
        <v>40</v>
      </c>
      <c r="J100" s="5" t="s">
        <v>44</v>
      </c>
      <c r="K100" s="5" t="s">
        <v>44</v>
      </c>
      <c r="L100" s="5" t="s">
        <v>44</v>
      </c>
      <c r="M100" s="5" t="s">
        <v>44</v>
      </c>
      <c r="N100" s="5">
        <v>37.4</v>
      </c>
      <c r="O100" s="5">
        <v>41</v>
      </c>
      <c r="P100" s="5">
        <v>1.44</v>
      </c>
      <c r="Q100" s="5">
        <v>0.16</v>
      </c>
      <c r="R100" s="5">
        <v>1.28</v>
      </c>
      <c r="S100" s="8">
        <v>1.0962566844919786</v>
      </c>
      <c r="T100" s="5" t="s">
        <v>44</v>
      </c>
      <c r="Y100" s="5" t="s">
        <v>44</v>
      </c>
      <c r="AB100" s="9" t="s">
        <v>44</v>
      </c>
      <c r="AC100" s="2" t="s">
        <v>46</v>
      </c>
      <c r="AD100" s="2">
        <v>0</v>
      </c>
      <c r="AE100" s="2" t="s">
        <v>52</v>
      </c>
      <c r="AF100" s="2" t="s">
        <v>85</v>
      </c>
      <c r="AG100" s="5">
        <v>1</v>
      </c>
      <c r="AH100" s="5" t="s">
        <v>37</v>
      </c>
      <c r="AI100" s="5" t="s">
        <v>37</v>
      </c>
      <c r="AJ100" s="5">
        <v>22</v>
      </c>
      <c r="AK100" s="5" t="s">
        <v>35</v>
      </c>
    </row>
    <row r="101" spans="1:37" ht="43.2" x14ac:dyDescent="0.3">
      <c r="A101" s="5">
        <v>104</v>
      </c>
      <c r="B101" s="5" t="s">
        <v>39</v>
      </c>
      <c r="C101" s="5">
        <v>38</v>
      </c>
      <c r="D101" s="2">
        <v>15</v>
      </c>
      <c r="E101" s="5">
        <v>176</v>
      </c>
      <c r="F101" s="5">
        <v>82</v>
      </c>
      <c r="G101" s="6">
        <v>26.472107438016529</v>
      </c>
      <c r="H101" s="9" t="s">
        <v>42</v>
      </c>
      <c r="I101" s="2">
        <v>32</v>
      </c>
      <c r="J101" s="5" t="s">
        <v>44</v>
      </c>
      <c r="K101" s="5" t="s">
        <v>44</v>
      </c>
      <c r="L101" s="5" t="s">
        <v>44</v>
      </c>
      <c r="M101" s="5" t="s">
        <v>44</v>
      </c>
      <c r="N101" s="5">
        <v>22</v>
      </c>
      <c r="O101" s="5">
        <v>45.9</v>
      </c>
      <c r="P101" s="5">
        <v>0.76</v>
      </c>
      <c r="Q101" s="5">
        <v>0.22</v>
      </c>
      <c r="R101" s="5">
        <v>0.54</v>
      </c>
      <c r="S101" s="8">
        <v>2.0863636363636364</v>
      </c>
      <c r="T101" s="5" t="s">
        <v>45</v>
      </c>
      <c r="U101" s="5" t="s">
        <v>56</v>
      </c>
      <c r="V101" s="5" t="s">
        <v>62</v>
      </c>
      <c r="W101" s="5" t="s">
        <v>65</v>
      </c>
      <c r="X101" s="5" t="s">
        <v>68</v>
      </c>
      <c r="Y101" s="5" t="s">
        <v>45</v>
      </c>
      <c r="Z101" s="5" t="s">
        <v>77</v>
      </c>
      <c r="AA101" s="5" t="s">
        <v>78</v>
      </c>
      <c r="AB101" s="9" t="s">
        <v>44</v>
      </c>
      <c r="AC101" s="2" t="s">
        <v>46</v>
      </c>
      <c r="AD101" s="2">
        <v>0</v>
      </c>
      <c r="AE101" s="2" t="s">
        <v>48</v>
      </c>
      <c r="AF101" s="2" t="s">
        <v>85</v>
      </c>
      <c r="AG101" s="5">
        <v>1</v>
      </c>
      <c r="AH101" s="5" t="s">
        <v>36</v>
      </c>
      <c r="AI101" s="5" t="s">
        <v>89</v>
      </c>
      <c r="AJ101" s="5">
        <v>28</v>
      </c>
      <c r="AK101" s="5" t="s">
        <v>35</v>
      </c>
    </row>
    <row r="102" spans="1:37" x14ac:dyDescent="0.3">
      <c r="A102" s="5">
        <v>105</v>
      </c>
      <c r="B102" s="5" t="s">
        <v>39</v>
      </c>
      <c r="C102" s="5">
        <v>43</v>
      </c>
      <c r="D102" s="2">
        <v>20</v>
      </c>
      <c r="E102" s="5">
        <v>162</v>
      </c>
      <c r="F102" s="5">
        <v>43</v>
      </c>
      <c r="G102" s="6">
        <v>16.384697454656301</v>
      </c>
      <c r="H102" s="9" t="s">
        <v>43</v>
      </c>
      <c r="I102" s="2">
        <v>28</v>
      </c>
      <c r="J102" s="5" t="s">
        <v>44</v>
      </c>
      <c r="K102" s="5" t="s">
        <v>44</v>
      </c>
      <c r="L102" s="5" t="s">
        <v>44</v>
      </c>
      <c r="M102" s="5" t="s">
        <v>44</v>
      </c>
      <c r="N102" s="5">
        <v>39.1</v>
      </c>
      <c r="O102" s="5">
        <v>35.200000000000003</v>
      </c>
      <c r="P102" s="5">
        <v>0.3</v>
      </c>
      <c r="Q102" s="5">
        <v>0.2</v>
      </c>
      <c r="R102" s="5">
        <v>0.1</v>
      </c>
      <c r="S102" s="8">
        <v>0.90025575447570338</v>
      </c>
      <c r="T102" s="5" t="s">
        <v>45</v>
      </c>
      <c r="U102" s="5" t="s">
        <v>55</v>
      </c>
      <c r="V102" s="5" t="s">
        <v>59</v>
      </c>
      <c r="W102" s="5" t="s">
        <v>65</v>
      </c>
      <c r="X102" s="5" t="s">
        <v>68</v>
      </c>
      <c r="Y102" s="5" t="s">
        <v>44</v>
      </c>
      <c r="AB102" s="9" t="s">
        <v>44</v>
      </c>
      <c r="AC102" s="2" t="s">
        <v>47</v>
      </c>
      <c r="AD102" s="2">
        <v>0</v>
      </c>
      <c r="AE102" s="2" t="s">
        <v>50</v>
      </c>
      <c r="AF102" s="2" t="s">
        <v>33</v>
      </c>
      <c r="AG102" s="5">
        <v>0</v>
      </c>
      <c r="AH102" s="5" t="s">
        <v>33</v>
      </c>
      <c r="AI102" s="5" t="s">
        <v>33</v>
      </c>
      <c r="AJ102" s="5">
        <v>25</v>
      </c>
      <c r="AK102" s="5" t="s">
        <v>35</v>
      </c>
    </row>
    <row r="103" spans="1:37" ht="28.8" x14ac:dyDescent="0.3">
      <c r="A103" s="5">
        <v>106</v>
      </c>
      <c r="B103" s="5" t="s">
        <v>39</v>
      </c>
      <c r="C103" s="5">
        <v>43</v>
      </c>
      <c r="D103" s="2">
        <v>26</v>
      </c>
      <c r="E103" s="5">
        <v>171</v>
      </c>
      <c r="F103" s="5">
        <v>42</v>
      </c>
      <c r="G103" s="6">
        <v>14.363393864778907</v>
      </c>
      <c r="H103" s="9" t="s">
        <v>43</v>
      </c>
      <c r="I103" s="2">
        <v>32</v>
      </c>
      <c r="J103" s="5" t="s">
        <v>45</v>
      </c>
      <c r="K103" s="5" t="s">
        <v>44</v>
      </c>
      <c r="L103" s="5" t="s">
        <v>44</v>
      </c>
      <c r="M103" s="5" t="s">
        <v>45</v>
      </c>
      <c r="N103" s="5">
        <v>57.12</v>
      </c>
      <c r="O103" s="5">
        <v>50.04</v>
      </c>
      <c r="P103" s="5">
        <v>0.42</v>
      </c>
      <c r="Q103" s="5">
        <v>0.09</v>
      </c>
      <c r="R103" s="5">
        <v>0.33</v>
      </c>
      <c r="S103" s="8">
        <v>0.87605042016806722</v>
      </c>
      <c r="T103" s="5" t="s">
        <v>45</v>
      </c>
      <c r="U103" s="5" t="s">
        <v>56</v>
      </c>
      <c r="V103" s="5" t="s">
        <v>60</v>
      </c>
      <c r="W103" s="5" t="s">
        <v>65</v>
      </c>
      <c r="X103" s="5" t="s">
        <v>68</v>
      </c>
      <c r="Y103" s="5" t="s">
        <v>44</v>
      </c>
      <c r="AB103" s="9" t="s">
        <v>44</v>
      </c>
      <c r="AC103" s="2" t="s">
        <v>46</v>
      </c>
      <c r="AD103" s="2">
        <v>0</v>
      </c>
      <c r="AE103" s="2" t="s">
        <v>49</v>
      </c>
      <c r="AF103" s="2" t="s">
        <v>85</v>
      </c>
      <c r="AG103" s="5">
        <v>1</v>
      </c>
      <c r="AH103" s="5" t="s">
        <v>37</v>
      </c>
      <c r="AI103" s="5" t="s">
        <v>37</v>
      </c>
      <c r="AJ103" s="5">
        <v>28</v>
      </c>
      <c r="AK103" s="5" t="s">
        <v>35</v>
      </c>
    </row>
    <row r="104" spans="1:37" x14ac:dyDescent="0.3">
      <c r="A104" s="5">
        <v>107</v>
      </c>
      <c r="B104" s="5" t="s">
        <v>39</v>
      </c>
      <c r="C104" s="5">
        <v>26</v>
      </c>
      <c r="D104" s="2">
        <v>4</v>
      </c>
      <c r="E104" s="5">
        <v>175</v>
      </c>
      <c r="F104" s="5">
        <v>62</v>
      </c>
      <c r="G104" s="6">
        <v>20.244897959183671</v>
      </c>
      <c r="H104" s="9" t="s">
        <v>33</v>
      </c>
      <c r="I104" s="2">
        <v>30</v>
      </c>
      <c r="J104" s="5" t="s">
        <v>44</v>
      </c>
      <c r="K104" s="5" t="s">
        <v>44</v>
      </c>
      <c r="L104" s="5" t="s">
        <v>44</v>
      </c>
      <c r="M104" s="5" t="s">
        <v>44</v>
      </c>
      <c r="N104" s="5">
        <v>27.18</v>
      </c>
      <c r="O104" s="5">
        <v>44.19</v>
      </c>
      <c r="P104" s="5">
        <v>0.17</v>
      </c>
      <c r="Q104" s="5">
        <v>7.0000000000000007E-2</v>
      </c>
      <c r="R104" s="5">
        <v>0.1</v>
      </c>
      <c r="S104" s="8">
        <v>1.6258278145695364</v>
      </c>
      <c r="T104" s="5" t="s">
        <v>44</v>
      </c>
      <c r="Y104" s="5" t="s">
        <v>44</v>
      </c>
      <c r="AB104" s="9" t="s">
        <v>44</v>
      </c>
      <c r="AC104" s="2" t="s">
        <v>46</v>
      </c>
      <c r="AD104" s="2">
        <v>0</v>
      </c>
      <c r="AE104" s="2" t="s">
        <v>49</v>
      </c>
      <c r="AF104" s="2" t="s">
        <v>85</v>
      </c>
      <c r="AG104" s="5">
        <v>1</v>
      </c>
      <c r="AH104" s="5" t="s">
        <v>88</v>
      </c>
      <c r="AI104" s="5" t="s">
        <v>88</v>
      </c>
      <c r="AJ104" s="5">
        <v>9</v>
      </c>
      <c r="AK104" s="5" t="s">
        <v>34</v>
      </c>
    </row>
    <row r="105" spans="1:37" x14ac:dyDescent="0.3">
      <c r="A105" s="5">
        <v>108</v>
      </c>
      <c r="B105" s="5" t="s">
        <v>39</v>
      </c>
      <c r="C105" s="5">
        <v>43</v>
      </c>
      <c r="D105" s="2">
        <v>17</v>
      </c>
      <c r="E105" s="5">
        <v>173</v>
      </c>
      <c r="F105" s="5">
        <v>65</v>
      </c>
      <c r="G105" s="6">
        <v>21.718066089745729</v>
      </c>
      <c r="H105" s="9" t="s">
        <v>33</v>
      </c>
      <c r="I105" s="2">
        <v>30</v>
      </c>
      <c r="J105" s="5" t="s">
        <v>44</v>
      </c>
      <c r="K105" s="5" t="s">
        <v>44</v>
      </c>
      <c r="L105" s="5" t="s">
        <v>44</v>
      </c>
      <c r="M105" s="5" t="s">
        <v>44</v>
      </c>
      <c r="N105" s="5">
        <v>19.5</v>
      </c>
      <c r="O105" s="5">
        <v>35.200000000000003</v>
      </c>
      <c r="P105" s="5">
        <v>0.56000000000000005</v>
      </c>
      <c r="Q105" s="5">
        <v>7.0000000000000007E-2</v>
      </c>
      <c r="R105" s="5">
        <v>0.49</v>
      </c>
      <c r="S105" s="8">
        <v>1.8051282051282054</v>
      </c>
      <c r="T105" s="5" t="s">
        <v>44</v>
      </c>
      <c r="Y105" s="5" t="s">
        <v>44</v>
      </c>
      <c r="AB105" s="9" t="s">
        <v>44</v>
      </c>
      <c r="AC105" s="2" t="s">
        <v>47</v>
      </c>
      <c r="AD105" s="2">
        <v>0</v>
      </c>
      <c r="AE105" s="2" t="s">
        <v>48</v>
      </c>
      <c r="AF105" s="2" t="s">
        <v>33</v>
      </c>
      <c r="AG105" s="5">
        <v>0</v>
      </c>
      <c r="AH105" s="5" t="s">
        <v>33</v>
      </c>
      <c r="AI105" s="5" t="s">
        <v>33</v>
      </c>
      <c r="AJ105" s="5">
        <v>2</v>
      </c>
      <c r="AK105" s="5" t="s">
        <v>34</v>
      </c>
    </row>
    <row r="106" spans="1:37" ht="72" x14ac:dyDescent="0.3">
      <c r="A106" s="5">
        <v>109</v>
      </c>
      <c r="B106" s="5" t="s">
        <v>39</v>
      </c>
      <c r="C106" s="5">
        <v>41</v>
      </c>
      <c r="D106" s="2">
        <v>20</v>
      </c>
      <c r="E106" s="5">
        <v>172</v>
      </c>
      <c r="F106" s="5">
        <v>85</v>
      </c>
      <c r="G106" s="6">
        <v>28.731746890210925</v>
      </c>
      <c r="H106" s="9" t="s">
        <v>42</v>
      </c>
      <c r="I106" s="2">
        <v>36</v>
      </c>
      <c r="J106" s="5" t="s">
        <v>44</v>
      </c>
      <c r="K106" s="5" t="s">
        <v>44</v>
      </c>
      <c r="L106" s="5" t="s">
        <v>44</v>
      </c>
      <c r="M106" s="5" t="s">
        <v>44</v>
      </c>
      <c r="N106" s="5">
        <v>31.5</v>
      </c>
      <c r="O106" s="5">
        <v>36.200000000000003</v>
      </c>
      <c r="P106" s="5">
        <v>0.69</v>
      </c>
      <c r="Q106" s="5">
        <v>0.16</v>
      </c>
      <c r="R106" s="5">
        <v>0.53</v>
      </c>
      <c r="S106" s="8">
        <v>1.1492063492063493</v>
      </c>
      <c r="T106" s="5" t="s">
        <v>45</v>
      </c>
      <c r="U106" s="5" t="s">
        <v>55</v>
      </c>
      <c r="V106" s="5" t="s">
        <v>63</v>
      </c>
      <c r="W106" s="5" t="s">
        <v>65</v>
      </c>
      <c r="X106" s="5" t="s">
        <v>69</v>
      </c>
      <c r="Y106" s="5" t="s">
        <v>44</v>
      </c>
      <c r="AB106" s="9" t="s">
        <v>44</v>
      </c>
      <c r="AC106" s="2" t="s">
        <v>46</v>
      </c>
      <c r="AD106" s="2">
        <v>0</v>
      </c>
      <c r="AE106" s="2" t="s">
        <v>49</v>
      </c>
      <c r="AF106" s="2" t="s">
        <v>33</v>
      </c>
      <c r="AG106" s="5">
        <v>0</v>
      </c>
      <c r="AH106" s="5" t="s">
        <v>33</v>
      </c>
      <c r="AI106" s="5" t="s">
        <v>33</v>
      </c>
      <c r="AJ106" s="5">
        <v>36</v>
      </c>
      <c r="AK106" s="5" t="s">
        <v>35</v>
      </c>
    </row>
    <row r="107" spans="1:37" x14ac:dyDescent="0.3">
      <c r="A107" s="5">
        <v>110</v>
      </c>
      <c r="B107" s="5" t="s">
        <v>39</v>
      </c>
      <c r="C107" s="5">
        <v>49</v>
      </c>
      <c r="D107" s="2">
        <v>22</v>
      </c>
      <c r="E107" s="5">
        <v>162</v>
      </c>
      <c r="F107" s="5">
        <v>80</v>
      </c>
      <c r="G107" s="6">
        <v>30.483158055174517</v>
      </c>
      <c r="H107" s="9" t="s">
        <v>41</v>
      </c>
      <c r="I107" s="2">
        <v>34</v>
      </c>
      <c r="J107" s="5" t="s">
        <v>44</v>
      </c>
      <c r="K107" s="5" t="s">
        <v>44</v>
      </c>
      <c r="L107" s="5" t="s">
        <v>44</v>
      </c>
      <c r="M107" s="5" t="s">
        <v>44</v>
      </c>
      <c r="N107" s="5">
        <v>56.08</v>
      </c>
      <c r="O107" s="5">
        <v>51.2</v>
      </c>
      <c r="P107" s="5">
        <v>0.6</v>
      </c>
      <c r="Q107" s="5">
        <v>0.11</v>
      </c>
      <c r="R107" s="5">
        <v>0.49</v>
      </c>
      <c r="S107" s="8">
        <v>0.91298145506419404</v>
      </c>
      <c r="T107" s="5" t="s">
        <v>44</v>
      </c>
      <c r="Y107" s="5" t="s">
        <v>44</v>
      </c>
      <c r="AB107" s="9" t="s">
        <v>44</v>
      </c>
      <c r="AC107" s="2" t="s">
        <v>46</v>
      </c>
      <c r="AD107" s="2">
        <v>0</v>
      </c>
      <c r="AE107" s="2" t="s">
        <v>49</v>
      </c>
      <c r="AF107" s="2" t="s">
        <v>85</v>
      </c>
      <c r="AG107" s="5">
        <v>1</v>
      </c>
      <c r="AH107" s="5" t="s">
        <v>37</v>
      </c>
      <c r="AI107" s="5" t="s">
        <v>37</v>
      </c>
      <c r="AJ107" s="5">
        <v>29</v>
      </c>
      <c r="AK107" s="5" t="s">
        <v>35</v>
      </c>
    </row>
    <row r="108" spans="1:37" x14ac:dyDescent="0.3">
      <c r="A108" s="5">
        <v>111</v>
      </c>
      <c r="B108" s="5" t="s">
        <v>39</v>
      </c>
      <c r="C108" s="5">
        <v>31</v>
      </c>
      <c r="D108" s="2">
        <v>6</v>
      </c>
      <c r="E108" s="5">
        <v>175</v>
      </c>
      <c r="F108" s="5">
        <v>80</v>
      </c>
      <c r="G108" s="6">
        <v>26.122448979591837</v>
      </c>
      <c r="H108" s="9" t="s">
        <v>42</v>
      </c>
      <c r="I108" s="2">
        <v>34</v>
      </c>
      <c r="J108" s="5" t="s">
        <v>44</v>
      </c>
      <c r="K108" s="5" t="s">
        <v>44</v>
      </c>
      <c r="L108" s="5" t="s">
        <v>44</v>
      </c>
      <c r="M108" s="5" t="s">
        <v>44</v>
      </c>
      <c r="N108" s="5">
        <v>21.2</v>
      </c>
      <c r="O108" s="5">
        <v>36.200000000000003</v>
      </c>
      <c r="P108" s="5">
        <v>0.67</v>
      </c>
      <c r="Q108" s="5">
        <v>0.18</v>
      </c>
      <c r="R108" s="5">
        <v>0.49</v>
      </c>
      <c r="S108" s="8">
        <v>1.7075471698113209</v>
      </c>
      <c r="T108" s="5" t="s">
        <v>44</v>
      </c>
      <c r="Y108" s="5" t="s">
        <v>44</v>
      </c>
      <c r="AB108" s="9" t="s">
        <v>44</v>
      </c>
      <c r="AC108" s="2" t="s">
        <v>46</v>
      </c>
      <c r="AD108" s="2">
        <v>0</v>
      </c>
      <c r="AE108" s="2" t="s">
        <v>48</v>
      </c>
      <c r="AF108" s="2" t="s">
        <v>33</v>
      </c>
      <c r="AG108" s="5">
        <v>0</v>
      </c>
      <c r="AH108" s="5" t="s">
        <v>33</v>
      </c>
      <c r="AI108" s="5" t="s">
        <v>33</v>
      </c>
      <c r="AJ108" s="5">
        <v>8</v>
      </c>
      <c r="AK108" s="5" t="s">
        <v>34</v>
      </c>
    </row>
    <row r="109" spans="1:37" x14ac:dyDescent="0.3">
      <c r="A109" s="5">
        <v>112</v>
      </c>
      <c r="B109" s="5" t="s">
        <v>39</v>
      </c>
      <c r="C109" s="5">
        <v>23</v>
      </c>
      <c r="D109" s="2">
        <v>1</v>
      </c>
      <c r="E109" s="5">
        <v>163</v>
      </c>
      <c r="F109" s="5">
        <v>61</v>
      </c>
      <c r="G109" s="6">
        <v>22.959087658549439</v>
      </c>
      <c r="H109" s="9" t="s">
        <v>33</v>
      </c>
      <c r="I109" s="2">
        <v>32</v>
      </c>
      <c r="J109" s="5" t="s">
        <v>44</v>
      </c>
      <c r="K109" s="5" t="s">
        <v>44</v>
      </c>
      <c r="L109" s="5" t="s">
        <v>44</v>
      </c>
      <c r="M109" s="5" t="s">
        <v>45</v>
      </c>
      <c r="N109" s="5">
        <v>21</v>
      </c>
      <c r="O109" s="5">
        <v>37.6</v>
      </c>
      <c r="P109" s="5">
        <v>0.68</v>
      </c>
      <c r="Q109" s="5">
        <v>0.13</v>
      </c>
      <c r="R109" s="5">
        <v>0.55000000000000004</v>
      </c>
      <c r="S109" s="8">
        <v>1.7904761904761906</v>
      </c>
      <c r="T109" s="5" t="s">
        <v>44</v>
      </c>
      <c r="Y109" s="5" t="s">
        <v>44</v>
      </c>
      <c r="AB109" s="9" t="s">
        <v>44</v>
      </c>
      <c r="AC109" s="2" t="s">
        <v>47</v>
      </c>
      <c r="AD109" s="2">
        <v>0</v>
      </c>
      <c r="AE109" s="2" t="s">
        <v>52</v>
      </c>
      <c r="AF109" s="2" t="s">
        <v>33</v>
      </c>
      <c r="AG109" s="5">
        <v>0</v>
      </c>
      <c r="AH109" s="5" t="s">
        <v>33</v>
      </c>
      <c r="AI109" s="5" t="s">
        <v>33</v>
      </c>
      <c r="AJ109" s="5">
        <v>4</v>
      </c>
      <c r="AK109" s="5" t="s">
        <v>34</v>
      </c>
    </row>
    <row r="110" spans="1:37" x14ac:dyDescent="0.3">
      <c r="A110" s="5">
        <v>113</v>
      </c>
      <c r="B110" s="5" t="s">
        <v>39</v>
      </c>
      <c r="C110" s="5">
        <v>21</v>
      </c>
      <c r="D110" s="2">
        <v>2</v>
      </c>
      <c r="E110" s="5">
        <v>162</v>
      </c>
      <c r="F110" s="5">
        <v>69</v>
      </c>
      <c r="G110" s="6">
        <v>26.291723822588018</v>
      </c>
      <c r="H110" s="9" t="s">
        <v>42</v>
      </c>
      <c r="I110" s="2">
        <v>32</v>
      </c>
      <c r="J110" s="5" t="s">
        <v>44</v>
      </c>
      <c r="K110" s="5" t="s">
        <v>44</v>
      </c>
      <c r="L110" s="5" t="s">
        <v>44</v>
      </c>
      <c r="M110" s="5" t="s">
        <v>44</v>
      </c>
      <c r="N110" s="5">
        <v>20.100000000000001</v>
      </c>
      <c r="O110" s="5">
        <v>38.9</v>
      </c>
      <c r="P110" s="5">
        <v>0.51</v>
      </c>
      <c r="Q110" s="5">
        <v>0.08</v>
      </c>
      <c r="R110" s="5">
        <v>0.43</v>
      </c>
      <c r="S110" s="8">
        <v>1.9353233830845769</v>
      </c>
      <c r="T110" s="5" t="s">
        <v>44</v>
      </c>
      <c r="Y110" s="5" t="s">
        <v>44</v>
      </c>
      <c r="AB110" s="9" t="s">
        <v>44</v>
      </c>
      <c r="AC110" s="2" t="s">
        <v>47</v>
      </c>
      <c r="AD110" s="2">
        <v>0</v>
      </c>
      <c r="AE110" s="2" t="s">
        <v>48</v>
      </c>
      <c r="AF110" s="2" t="s">
        <v>33</v>
      </c>
      <c r="AG110" s="5">
        <v>0</v>
      </c>
      <c r="AH110" s="5" t="s">
        <v>33</v>
      </c>
      <c r="AI110" s="5" t="s">
        <v>33</v>
      </c>
      <c r="AJ110" s="5">
        <v>5</v>
      </c>
      <c r="AK110" s="5" t="s">
        <v>34</v>
      </c>
    </row>
    <row r="111" spans="1:37" ht="72" x14ac:dyDescent="0.3">
      <c r="A111" s="5">
        <v>114</v>
      </c>
      <c r="B111" s="5" t="s">
        <v>39</v>
      </c>
      <c r="C111" s="5">
        <v>42</v>
      </c>
      <c r="D111" s="2">
        <v>25</v>
      </c>
      <c r="E111" s="5">
        <v>173</v>
      </c>
      <c r="F111" s="5">
        <v>69</v>
      </c>
      <c r="G111" s="6">
        <v>23.054562464499316</v>
      </c>
      <c r="H111" s="9" t="s">
        <v>33</v>
      </c>
      <c r="I111" s="2">
        <v>32</v>
      </c>
      <c r="J111" s="5" t="s">
        <v>45</v>
      </c>
      <c r="K111" s="5" t="s">
        <v>44</v>
      </c>
      <c r="L111" s="5" t="s">
        <v>44</v>
      </c>
      <c r="M111" s="5" t="s">
        <v>45</v>
      </c>
      <c r="N111" s="5">
        <v>44.1</v>
      </c>
      <c r="O111" s="5">
        <v>35.9</v>
      </c>
      <c r="P111" s="5">
        <v>1.3</v>
      </c>
      <c r="Q111" s="5">
        <v>0.24</v>
      </c>
      <c r="R111" s="5">
        <v>1.06</v>
      </c>
      <c r="S111" s="8">
        <v>0.81405895691609975</v>
      </c>
      <c r="T111" s="5" t="s">
        <v>45</v>
      </c>
      <c r="U111" s="5" t="s">
        <v>58</v>
      </c>
      <c r="V111" s="5" t="s">
        <v>60</v>
      </c>
      <c r="W111" s="5" t="s">
        <v>65</v>
      </c>
      <c r="X111" s="5" t="s">
        <v>69</v>
      </c>
      <c r="Y111" s="5" t="s">
        <v>44</v>
      </c>
      <c r="AB111" s="9" t="s">
        <v>44</v>
      </c>
      <c r="AC111" s="2" t="s">
        <v>47</v>
      </c>
      <c r="AD111" s="2">
        <v>0</v>
      </c>
      <c r="AE111" s="2" t="s">
        <v>49</v>
      </c>
      <c r="AF111" s="2" t="s">
        <v>33</v>
      </c>
      <c r="AG111" s="5">
        <v>0</v>
      </c>
      <c r="AH111" s="5" t="s">
        <v>33</v>
      </c>
      <c r="AI111" s="5" t="s">
        <v>33</v>
      </c>
      <c r="AJ111" s="5">
        <v>30</v>
      </c>
      <c r="AK111" s="5" t="s">
        <v>35</v>
      </c>
    </row>
    <row r="112" spans="1:37" x14ac:dyDescent="0.3">
      <c r="A112" s="5">
        <v>115</v>
      </c>
      <c r="B112" s="5" t="s">
        <v>39</v>
      </c>
      <c r="C112" s="5">
        <v>32</v>
      </c>
      <c r="D112" s="2">
        <v>9</v>
      </c>
      <c r="E112" s="5">
        <v>168</v>
      </c>
      <c r="F112" s="5">
        <v>62</v>
      </c>
      <c r="G112" s="6">
        <v>21.967120181405896</v>
      </c>
      <c r="H112" s="9" t="s">
        <v>33</v>
      </c>
      <c r="I112" s="2">
        <v>32</v>
      </c>
      <c r="J112" s="5" t="s">
        <v>44</v>
      </c>
      <c r="K112" s="5" t="s">
        <v>44</v>
      </c>
      <c r="L112" s="5" t="s">
        <v>45</v>
      </c>
      <c r="M112" s="5" t="s">
        <v>44</v>
      </c>
      <c r="N112" s="5">
        <v>25.9</v>
      </c>
      <c r="O112" s="5">
        <v>52.8</v>
      </c>
      <c r="P112" s="5">
        <v>0.83</v>
      </c>
      <c r="Q112" s="5">
        <v>0.1</v>
      </c>
      <c r="R112" s="5">
        <v>0.73</v>
      </c>
      <c r="S112" s="8">
        <v>2.0386100386100385</v>
      </c>
      <c r="T112" s="5" t="s">
        <v>44</v>
      </c>
      <c r="Y112" s="5" t="s">
        <v>44</v>
      </c>
      <c r="AB112" s="9" t="s">
        <v>44</v>
      </c>
      <c r="AC112" s="2" t="s">
        <v>47</v>
      </c>
      <c r="AD112" s="2">
        <v>0</v>
      </c>
      <c r="AE112" s="2" t="s">
        <v>48</v>
      </c>
      <c r="AF112" s="2" t="s">
        <v>85</v>
      </c>
      <c r="AG112" s="5">
        <v>1</v>
      </c>
      <c r="AH112" s="5" t="s">
        <v>36</v>
      </c>
      <c r="AI112" s="5" t="s">
        <v>86</v>
      </c>
      <c r="AJ112" s="5">
        <v>7</v>
      </c>
      <c r="AK112" s="5" t="s">
        <v>34</v>
      </c>
    </row>
    <row r="113" spans="1:37" ht="43.2" x14ac:dyDescent="0.3">
      <c r="A113" s="5">
        <v>116</v>
      </c>
      <c r="B113" s="5" t="s">
        <v>39</v>
      </c>
      <c r="C113" s="5">
        <v>21</v>
      </c>
      <c r="D113" s="2">
        <v>1</v>
      </c>
      <c r="E113" s="5">
        <v>168</v>
      </c>
      <c r="F113" s="5">
        <v>51</v>
      </c>
      <c r="G113" s="6">
        <v>18.100000000000001</v>
      </c>
      <c r="H113" s="9" t="s">
        <v>43</v>
      </c>
      <c r="I113" s="2">
        <v>28</v>
      </c>
      <c r="J113" s="5" t="s">
        <v>44</v>
      </c>
      <c r="K113" s="5" t="s">
        <v>44</v>
      </c>
      <c r="L113" s="5" t="s">
        <v>44</v>
      </c>
      <c r="M113" s="5" t="s">
        <v>44</v>
      </c>
      <c r="N113" s="5">
        <v>24.3</v>
      </c>
      <c r="O113" s="5">
        <v>35.200000000000003</v>
      </c>
      <c r="P113" s="5">
        <v>0.46</v>
      </c>
      <c r="Q113" s="5">
        <v>0.11</v>
      </c>
      <c r="R113" s="5">
        <v>0.35</v>
      </c>
      <c r="S113" s="8">
        <v>1.4485596707818931</v>
      </c>
      <c r="T113" s="5" t="s">
        <v>45</v>
      </c>
      <c r="U113" s="5" t="s">
        <v>56</v>
      </c>
      <c r="V113" s="5" t="s">
        <v>61</v>
      </c>
      <c r="W113" s="5" t="s">
        <v>65</v>
      </c>
      <c r="X113" s="5" t="s">
        <v>68</v>
      </c>
      <c r="Y113" s="5" t="s">
        <v>45</v>
      </c>
      <c r="Z113" s="5" t="s">
        <v>75</v>
      </c>
      <c r="AA113" s="5" t="s">
        <v>83</v>
      </c>
      <c r="AB113" s="9" t="s">
        <v>44</v>
      </c>
      <c r="AC113" s="2" t="s">
        <v>47</v>
      </c>
      <c r="AD113" s="2">
        <v>0</v>
      </c>
      <c r="AE113" s="2" t="s">
        <v>48</v>
      </c>
      <c r="AF113" s="2" t="s">
        <v>33</v>
      </c>
      <c r="AG113" s="5">
        <v>0</v>
      </c>
      <c r="AH113" s="5" t="s">
        <v>33</v>
      </c>
      <c r="AI113" s="5" t="s">
        <v>33</v>
      </c>
      <c r="AJ113" s="5">
        <v>11</v>
      </c>
      <c r="AK113" s="5" t="s">
        <v>34</v>
      </c>
    </row>
    <row r="114" spans="1:37" ht="28.8" x14ac:dyDescent="0.3">
      <c r="A114" s="5">
        <v>117</v>
      </c>
      <c r="B114" s="5" t="s">
        <v>39</v>
      </c>
      <c r="C114" s="5">
        <v>28</v>
      </c>
      <c r="D114" s="2">
        <v>4</v>
      </c>
      <c r="E114" s="5">
        <v>175</v>
      </c>
      <c r="F114" s="5">
        <v>72</v>
      </c>
      <c r="G114" s="6">
        <v>23.510204081632654</v>
      </c>
      <c r="H114" s="9" t="s">
        <v>33</v>
      </c>
      <c r="I114" s="2">
        <v>32</v>
      </c>
      <c r="J114" s="5" t="s">
        <v>44</v>
      </c>
      <c r="K114" s="5" t="s">
        <v>44</v>
      </c>
      <c r="L114" s="5" t="s">
        <v>45</v>
      </c>
      <c r="M114" s="5" t="s">
        <v>44</v>
      </c>
      <c r="N114" s="5">
        <v>39.700000000000003</v>
      </c>
      <c r="O114" s="5">
        <v>35.200000000000003</v>
      </c>
      <c r="P114" s="5">
        <v>0.28000000000000003</v>
      </c>
      <c r="Q114" s="5">
        <v>7.0000000000000007E-2</v>
      </c>
      <c r="R114" s="5">
        <v>0.21</v>
      </c>
      <c r="S114" s="8">
        <v>0.88664987405541562</v>
      </c>
      <c r="T114" s="5" t="s">
        <v>44</v>
      </c>
      <c r="Y114" s="5" t="s">
        <v>45</v>
      </c>
      <c r="Z114" s="5" t="s">
        <v>74</v>
      </c>
      <c r="AA114" s="5" t="s">
        <v>82</v>
      </c>
      <c r="AB114" s="9" t="s">
        <v>44</v>
      </c>
      <c r="AC114" s="2" t="s">
        <v>46</v>
      </c>
      <c r="AD114" s="2">
        <v>0</v>
      </c>
      <c r="AE114" s="2" t="s">
        <v>49</v>
      </c>
      <c r="AF114" s="2" t="s">
        <v>33</v>
      </c>
      <c r="AG114" s="5">
        <v>0</v>
      </c>
      <c r="AH114" s="5" t="s">
        <v>33</v>
      </c>
      <c r="AI114" s="5" t="s">
        <v>33</v>
      </c>
      <c r="AJ114" s="5">
        <v>11</v>
      </c>
      <c r="AK114" s="5" t="s">
        <v>34</v>
      </c>
    </row>
    <row r="115" spans="1:37" ht="28.8" x14ac:dyDescent="0.3">
      <c r="A115" s="5">
        <v>118</v>
      </c>
      <c r="B115" s="5" t="s">
        <v>39</v>
      </c>
      <c r="C115" s="5">
        <v>40</v>
      </c>
      <c r="D115" s="2">
        <v>16</v>
      </c>
      <c r="E115" s="5">
        <v>165</v>
      </c>
      <c r="F115" s="5">
        <v>67</v>
      </c>
      <c r="G115" s="6">
        <v>24.609733700642792</v>
      </c>
      <c r="H115" s="9" t="s">
        <v>33</v>
      </c>
      <c r="I115" s="2">
        <v>32</v>
      </c>
      <c r="J115" s="5" t="s">
        <v>44</v>
      </c>
      <c r="K115" s="5" t="s">
        <v>45</v>
      </c>
      <c r="L115" s="5" t="s">
        <v>44</v>
      </c>
      <c r="M115" s="5" t="s">
        <v>44</v>
      </c>
      <c r="N115" s="5">
        <v>56.1</v>
      </c>
      <c r="O115" s="5">
        <v>46.8</v>
      </c>
      <c r="P115" s="5">
        <v>0.37</v>
      </c>
      <c r="Q115" s="5">
        <v>0.09</v>
      </c>
      <c r="R115" s="5">
        <v>0.28000000000000003</v>
      </c>
      <c r="S115" s="8">
        <v>0.83422459893048118</v>
      </c>
      <c r="T115" s="5" t="s">
        <v>45</v>
      </c>
      <c r="U115" s="5" t="s">
        <v>57</v>
      </c>
      <c r="V115" s="5" t="s">
        <v>60</v>
      </c>
      <c r="W115" s="5" t="s">
        <v>65</v>
      </c>
      <c r="X115" s="5" t="s">
        <v>68</v>
      </c>
      <c r="Y115" s="5" t="s">
        <v>44</v>
      </c>
      <c r="AB115" s="9" t="s">
        <v>44</v>
      </c>
      <c r="AC115" s="2" t="s">
        <v>47</v>
      </c>
      <c r="AD115" s="2">
        <v>0</v>
      </c>
      <c r="AE115" s="2" t="s">
        <v>49</v>
      </c>
      <c r="AF115" s="2" t="s">
        <v>85</v>
      </c>
      <c r="AG115" s="5">
        <v>1</v>
      </c>
      <c r="AH115" s="5" t="s">
        <v>37</v>
      </c>
      <c r="AI115" s="5" t="s">
        <v>37</v>
      </c>
      <c r="AJ115" s="5">
        <v>30</v>
      </c>
      <c r="AK115" s="5" t="s">
        <v>35</v>
      </c>
    </row>
    <row r="116" spans="1:37" x14ac:dyDescent="0.3">
      <c r="A116" s="5">
        <v>119</v>
      </c>
      <c r="B116" s="5" t="s">
        <v>39</v>
      </c>
      <c r="C116" s="5">
        <v>48</v>
      </c>
      <c r="D116" s="2">
        <v>20</v>
      </c>
      <c r="E116" s="5">
        <v>156</v>
      </c>
      <c r="F116" s="5">
        <v>62</v>
      </c>
      <c r="G116" s="6">
        <v>25.476660092044707</v>
      </c>
      <c r="H116" s="9" t="s">
        <v>42</v>
      </c>
      <c r="I116" s="2">
        <v>32</v>
      </c>
      <c r="J116" s="5" t="s">
        <v>44</v>
      </c>
      <c r="K116" s="5" t="s">
        <v>44</v>
      </c>
      <c r="L116" s="5" t="s">
        <v>44</v>
      </c>
      <c r="M116" s="5" t="s">
        <v>44</v>
      </c>
      <c r="N116" s="5">
        <v>17.100000000000001</v>
      </c>
      <c r="O116" s="5">
        <v>26.29</v>
      </c>
      <c r="P116" s="5">
        <v>0.6</v>
      </c>
      <c r="Q116" s="5">
        <v>0.11</v>
      </c>
      <c r="R116" s="5">
        <v>0.49</v>
      </c>
      <c r="S116" s="8">
        <v>1.5374269005847951</v>
      </c>
      <c r="T116" s="5" t="s">
        <v>44</v>
      </c>
      <c r="Y116" s="5" t="s">
        <v>44</v>
      </c>
      <c r="AB116" s="9" t="s">
        <v>44</v>
      </c>
      <c r="AC116" s="2" t="s">
        <v>47</v>
      </c>
      <c r="AD116" s="2">
        <v>0</v>
      </c>
      <c r="AE116" s="2" t="s">
        <v>48</v>
      </c>
      <c r="AF116" s="2" t="s">
        <v>33</v>
      </c>
      <c r="AG116" s="5">
        <v>0</v>
      </c>
      <c r="AH116" s="5" t="s">
        <v>33</v>
      </c>
      <c r="AI116" s="5" t="s">
        <v>33</v>
      </c>
      <c r="AJ116" s="5">
        <v>9</v>
      </c>
      <c r="AK116" s="5" t="s">
        <v>34</v>
      </c>
    </row>
    <row r="117" spans="1:37" x14ac:dyDescent="0.3">
      <c r="A117" s="5">
        <v>120</v>
      </c>
      <c r="B117" s="5" t="s">
        <v>39</v>
      </c>
      <c r="C117" s="5">
        <v>36</v>
      </c>
      <c r="D117" s="2">
        <v>14</v>
      </c>
      <c r="E117" s="5">
        <v>160</v>
      </c>
      <c r="F117" s="5">
        <v>70</v>
      </c>
      <c r="G117" s="6">
        <v>27.34375</v>
      </c>
      <c r="H117" s="9" t="s">
        <v>42</v>
      </c>
      <c r="I117" s="2">
        <v>34</v>
      </c>
      <c r="J117" s="5" t="s">
        <v>44</v>
      </c>
      <c r="K117" s="5" t="s">
        <v>44</v>
      </c>
      <c r="L117" s="5" t="s">
        <v>44</v>
      </c>
      <c r="M117" s="5" t="s">
        <v>45</v>
      </c>
      <c r="N117" s="5">
        <v>36.700000000000003</v>
      </c>
      <c r="O117" s="5">
        <v>39.799999999999997</v>
      </c>
      <c r="P117" s="5">
        <v>1.0900000000000001</v>
      </c>
      <c r="Q117" s="5">
        <v>0.12</v>
      </c>
      <c r="R117" s="5">
        <v>0.97</v>
      </c>
      <c r="S117" s="8">
        <v>1.084468664850136</v>
      </c>
      <c r="T117" s="5" t="s">
        <v>44</v>
      </c>
      <c r="Y117" s="5" t="s">
        <v>44</v>
      </c>
      <c r="AB117" s="9" t="s">
        <v>44</v>
      </c>
      <c r="AC117" s="2" t="s">
        <v>46</v>
      </c>
      <c r="AD117" s="2">
        <v>0</v>
      </c>
      <c r="AE117" s="2" t="s">
        <v>49</v>
      </c>
      <c r="AF117" s="2" t="s">
        <v>33</v>
      </c>
      <c r="AG117" s="5">
        <v>0</v>
      </c>
      <c r="AH117" s="5" t="s">
        <v>33</v>
      </c>
      <c r="AI117" s="5" t="s">
        <v>33</v>
      </c>
      <c r="AJ117" s="5">
        <v>14</v>
      </c>
      <c r="AK117" s="5" t="s">
        <v>34</v>
      </c>
    </row>
    <row r="118" spans="1:37" x14ac:dyDescent="0.3">
      <c r="A118" s="5">
        <v>121</v>
      </c>
      <c r="B118" s="5" t="s">
        <v>40</v>
      </c>
      <c r="C118" s="5">
        <v>39</v>
      </c>
      <c r="D118" s="2">
        <v>10</v>
      </c>
      <c r="E118" s="5">
        <v>156</v>
      </c>
      <c r="F118" s="5">
        <v>62</v>
      </c>
      <c r="G118" s="6">
        <v>25.476660092044707</v>
      </c>
      <c r="H118" s="9" t="s">
        <v>42</v>
      </c>
      <c r="I118" s="2">
        <v>30</v>
      </c>
      <c r="J118" s="5" t="s">
        <v>44</v>
      </c>
      <c r="K118" s="5" t="s">
        <v>44</v>
      </c>
      <c r="L118" s="5" t="s">
        <v>44</v>
      </c>
      <c r="M118" s="5" t="s">
        <v>44</v>
      </c>
      <c r="N118" s="5">
        <v>15.71</v>
      </c>
      <c r="O118" s="5">
        <v>26.9</v>
      </c>
      <c r="P118" s="5">
        <v>0.38</v>
      </c>
      <c r="Q118" s="5">
        <v>7.0000000000000007E-2</v>
      </c>
      <c r="R118" s="5">
        <v>0.31</v>
      </c>
      <c r="S118" s="8">
        <v>1.7122851686823677</v>
      </c>
      <c r="T118" s="5" t="s">
        <v>44</v>
      </c>
      <c r="Y118" s="5" t="s">
        <v>44</v>
      </c>
      <c r="AB118" s="9" t="s">
        <v>44</v>
      </c>
      <c r="AC118" s="2" t="s">
        <v>46</v>
      </c>
      <c r="AD118" s="2">
        <v>0</v>
      </c>
      <c r="AE118" s="2" t="s">
        <v>49</v>
      </c>
      <c r="AF118" s="2" t="s">
        <v>33</v>
      </c>
      <c r="AG118" s="5">
        <v>0</v>
      </c>
      <c r="AH118" s="5" t="s">
        <v>33</v>
      </c>
      <c r="AI118" s="5" t="s">
        <v>33</v>
      </c>
      <c r="AJ118" s="5">
        <v>12</v>
      </c>
      <c r="AK118" s="5" t="s">
        <v>34</v>
      </c>
    </row>
    <row r="119" spans="1:37" x14ac:dyDescent="0.3">
      <c r="A119" s="5">
        <v>122</v>
      </c>
      <c r="B119" s="5" t="s">
        <v>39</v>
      </c>
      <c r="C119" s="5">
        <v>36</v>
      </c>
      <c r="D119" s="2">
        <v>4</v>
      </c>
      <c r="E119" s="5">
        <v>165</v>
      </c>
      <c r="F119" s="5">
        <v>63</v>
      </c>
      <c r="G119" s="6">
        <v>23.140495867768596</v>
      </c>
      <c r="H119" s="9" t="s">
        <v>33</v>
      </c>
      <c r="I119" s="2">
        <v>30</v>
      </c>
      <c r="J119" s="5" t="s">
        <v>44</v>
      </c>
      <c r="K119" s="5" t="s">
        <v>44</v>
      </c>
      <c r="L119" s="5" t="s">
        <v>44</v>
      </c>
      <c r="M119" s="5" t="s">
        <v>44</v>
      </c>
      <c r="N119" s="5">
        <v>32.6</v>
      </c>
      <c r="O119" s="5">
        <v>32.799999999999997</v>
      </c>
      <c r="P119" s="5">
        <v>0.8</v>
      </c>
      <c r="Q119" s="5">
        <v>0.1</v>
      </c>
      <c r="R119" s="5">
        <v>0.7</v>
      </c>
      <c r="S119" s="8">
        <v>1.0061349693251533</v>
      </c>
      <c r="T119" s="5" t="s">
        <v>44</v>
      </c>
      <c r="Y119" s="5" t="s">
        <v>44</v>
      </c>
      <c r="AB119" s="9" t="s">
        <v>44</v>
      </c>
      <c r="AC119" s="2" t="s">
        <v>46</v>
      </c>
      <c r="AD119" s="2">
        <v>0</v>
      </c>
      <c r="AE119" s="2" t="s">
        <v>49</v>
      </c>
      <c r="AF119" s="2" t="s">
        <v>33</v>
      </c>
      <c r="AG119" s="5">
        <v>0</v>
      </c>
      <c r="AH119" s="5" t="s">
        <v>33</v>
      </c>
      <c r="AI119" s="5" t="s">
        <v>33</v>
      </c>
      <c r="AJ119" s="5">
        <v>7</v>
      </c>
      <c r="AK119" s="5" t="s">
        <v>34</v>
      </c>
    </row>
    <row r="120" spans="1:37" x14ac:dyDescent="0.3">
      <c r="A120" s="5">
        <v>123</v>
      </c>
      <c r="B120" s="5" t="s">
        <v>39</v>
      </c>
      <c r="C120" s="5">
        <v>51</v>
      </c>
      <c r="D120" s="2">
        <v>26</v>
      </c>
      <c r="E120" s="5">
        <v>174</v>
      </c>
      <c r="F120" s="5">
        <v>69</v>
      </c>
      <c r="G120" s="6">
        <v>22.790328973444314</v>
      </c>
      <c r="H120" s="9" t="s">
        <v>33</v>
      </c>
      <c r="I120" s="2">
        <v>30</v>
      </c>
      <c r="J120" s="5" t="s">
        <v>44</v>
      </c>
      <c r="K120" s="5" t="s">
        <v>44</v>
      </c>
      <c r="L120" s="5" t="s">
        <v>44</v>
      </c>
      <c r="M120" s="5" t="s">
        <v>44</v>
      </c>
      <c r="N120" s="5">
        <v>24.79</v>
      </c>
      <c r="O120" s="5">
        <v>32.880000000000003</v>
      </c>
      <c r="P120" s="5">
        <v>0.61</v>
      </c>
      <c r="Q120" s="5">
        <v>7.0000000000000007E-2</v>
      </c>
      <c r="R120" s="5">
        <v>0.54</v>
      </c>
      <c r="S120" s="8">
        <v>1.3263412666397743</v>
      </c>
      <c r="T120" s="5" t="s">
        <v>44</v>
      </c>
      <c r="Y120" s="5" t="s">
        <v>44</v>
      </c>
      <c r="AB120" s="9" t="s">
        <v>44</v>
      </c>
      <c r="AC120" s="2" t="s">
        <v>47</v>
      </c>
      <c r="AD120" s="2">
        <v>0</v>
      </c>
      <c r="AE120" s="2" t="s">
        <v>49</v>
      </c>
      <c r="AF120" s="2" t="s">
        <v>33</v>
      </c>
      <c r="AG120" s="5">
        <v>0</v>
      </c>
      <c r="AH120" s="5" t="s">
        <v>33</v>
      </c>
      <c r="AI120" s="5" t="s">
        <v>33</v>
      </c>
      <c r="AJ120" s="5">
        <v>7</v>
      </c>
      <c r="AK120" s="5" t="s">
        <v>34</v>
      </c>
    </row>
    <row r="121" spans="1:37" x14ac:dyDescent="0.3">
      <c r="A121" s="5">
        <v>124</v>
      </c>
      <c r="B121" s="5" t="s">
        <v>39</v>
      </c>
      <c r="C121" s="5">
        <v>34</v>
      </c>
      <c r="D121" s="2">
        <v>3</v>
      </c>
      <c r="E121" s="5">
        <v>173</v>
      </c>
      <c r="F121" s="5">
        <v>70</v>
      </c>
      <c r="G121" s="6">
        <v>23.388686558187711</v>
      </c>
      <c r="H121" s="9" t="s">
        <v>33</v>
      </c>
      <c r="I121" s="2">
        <v>32</v>
      </c>
      <c r="J121" s="5" t="s">
        <v>44</v>
      </c>
      <c r="K121" s="5" t="s">
        <v>44</v>
      </c>
      <c r="L121" s="5" t="s">
        <v>44</v>
      </c>
      <c r="M121" s="5" t="s">
        <v>44</v>
      </c>
      <c r="N121" s="5">
        <v>21.7</v>
      </c>
      <c r="O121" s="5">
        <v>35</v>
      </c>
      <c r="P121" s="5">
        <v>0.59</v>
      </c>
      <c r="Q121" s="5">
        <v>0.13</v>
      </c>
      <c r="R121" s="5">
        <v>0.46</v>
      </c>
      <c r="S121" s="8">
        <v>1.6129032258064517</v>
      </c>
      <c r="T121" s="5" t="s">
        <v>44</v>
      </c>
      <c r="Y121" s="5" t="s">
        <v>44</v>
      </c>
      <c r="AB121" s="9" t="s">
        <v>44</v>
      </c>
      <c r="AC121" s="2" t="s">
        <v>46</v>
      </c>
      <c r="AD121" s="2">
        <v>0</v>
      </c>
      <c r="AE121" s="2" t="s">
        <v>49</v>
      </c>
      <c r="AF121" s="2" t="s">
        <v>33</v>
      </c>
      <c r="AG121" s="5">
        <v>0</v>
      </c>
      <c r="AH121" s="5" t="s">
        <v>33</v>
      </c>
      <c r="AI121" s="5" t="s">
        <v>33</v>
      </c>
      <c r="AJ121" s="5">
        <v>6</v>
      </c>
      <c r="AK121" s="5" t="s">
        <v>34</v>
      </c>
    </row>
    <row r="122" spans="1:37" x14ac:dyDescent="0.3">
      <c r="A122" s="5">
        <v>125</v>
      </c>
      <c r="B122" s="5" t="s">
        <v>39</v>
      </c>
      <c r="C122" s="5">
        <v>42</v>
      </c>
      <c r="D122" s="2">
        <v>23</v>
      </c>
      <c r="E122" s="5">
        <v>174</v>
      </c>
      <c r="F122" s="5">
        <v>75</v>
      </c>
      <c r="G122" s="6">
        <v>24.772096710265558</v>
      </c>
      <c r="H122" s="9" t="s">
        <v>33</v>
      </c>
      <c r="I122" s="2">
        <v>30</v>
      </c>
      <c r="J122" s="5" t="s">
        <v>44</v>
      </c>
      <c r="K122" s="5" t="s">
        <v>44</v>
      </c>
      <c r="L122" s="5" t="s">
        <v>44</v>
      </c>
      <c r="M122" s="5" t="s">
        <v>44</v>
      </c>
      <c r="N122" s="5">
        <v>56</v>
      </c>
      <c r="O122" s="5">
        <v>35.200000000000003</v>
      </c>
      <c r="P122" s="5">
        <v>0.74</v>
      </c>
      <c r="Q122" s="5">
        <v>0.16</v>
      </c>
      <c r="R122" s="5">
        <v>0.57999999999999996</v>
      </c>
      <c r="S122" s="8">
        <v>0.62857142857142867</v>
      </c>
      <c r="T122" s="5" t="s">
        <v>44</v>
      </c>
      <c r="Y122" s="5" t="s">
        <v>44</v>
      </c>
      <c r="AB122" s="9" t="s">
        <v>44</v>
      </c>
      <c r="AC122" s="2" t="s">
        <v>47</v>
      </c>
      <c r="AD122" s="2">
        <v>0</v>
      </c>
      <c r="AE122" s="2" t="s">
        <v>48</v>
      </c>
      <c r="AF122" s="2" t="s">
        <v>33</v>
      </c>
      <c r="AG122" s="5">
        <v>0</v>
      </c>
      <c r="AH122" s="5" t="s">
        <v>33</v>
      </c>
      <c r="AI122" s="5" t="s">
        <v>33</v>
      </c>
      <c r="AJ122" s="5">
        <v>5</v>
      </c>
      <c r="AK122" s="5" t="s">
        <v>34</v>
      </c>
    </row>
    <row r="123" spans="1:37" x14ac:dyDescent="0.3">
      <c r="A123" s="5">
        <v>126</v>
      </c>
      <c r="B123" s="5" t="s">
        <v>39</v>
      </c>
      <c r="C123" s="5">
        <v>42</v>
      </c>
      <c r="D123" s="2">
        <v>17</v>
      </c>
      <c r="E123" s="5">
        <v>178</v>
      </c>
      <c r="F123" s="5">
        <v>95</v>
      </c>
      <c r="G123" s="6">
        <v>29.983587930816814</v>
      </c>
      <c r="H123" s="9" t="s">
        <v>41</v>
      </c>
      <c r="I123" s="2">
        <v>36</v>
      </c>
      <c r="J123" s="5" t="s">
        <v>44</v>
      </c>
      <c r="K123" s="5" t="s">
        <v>44</v>
      </c>
      <c r="L123" s="5" t="s">
        <v>44</v>
      </c>
      <c r="M123" s="5" t="s">
        <v>44</v>
      </c>
      <c r="N123" s="5">
        <v>26.91</v>
      </c>
      <c r="O123" s="5">
        <v>53.8</v>
      </c>
      <c r="P123" s="5">
        <v>0.43</v>
      </c>
      <c r="Q123" s="5">
        <v>0.08</v>
      </c>
      <c r="R123" s="5">
        <v>0.35</v>
      </c>
      <c r="S123" s="8">
        <v>1.9992567818654774</v>
      </c>
      <c r="T123" s="5" t="s">
        <v>44</v>
      </c>
      <c r="Y123" s="5" t="s">
        <v>44</v>
      </c>
      <c r="AB123" s="9" t="s">
        <v>44</v>
      </c>
      <c r="AC123" s="2" t="s">
        <v>47</v>
      </c>
      <c r="AD123" s="2">
        <v>0</v>
      </c>
      <c r="AE123" s="2" t="s">
        <v>50</v>
      </c>
      <c r="AF123" s="2" t="s">
        <v>85</v>
      </c>
      <c r="AG123" s="5">
        <v>1</v>
      </c>
      <c r="AH123" s="5" t="s">
        <v>37</v>
      </c>
      <c r="AI123" s="5" t="s">
        <v>37</v>
      </c>
      <c r="AJ123" s="5">
        <v>23</v>
      </c>
      <c r="AK123" s="5" t="s">
        <v>35</v>
      </c>
    </row>
    <row r="124" spans="1:37" x14ac:dyDescent="0.3">
      <c r="A124" s="5">
        <v>127</v>
      </c>
      <c r="B124" s="5" t="s">
        <v>39</v>
      </c>
      <c r="C124" s="5">
        <v>36</v>
      </c>
      <c r="D124" s="2">
        <v>12</v>
      </c>
      <c r="E124" s="5">
        <v>175</v>
      </c>
      <c r="F124" s="5">
        <v>73</v>
      </c>
      <c r="G124" s="6">
        <v>23.836734693877549</v>
      </c>
      <c r="H124" s="9" t="s">
        <v>33</v>
      </c>
      <c r="I124" s="2">
        <v>30</v>
      </c>
      <c r="J124" s="5" t="s">
        <v>44</v>
      </c>
      <c r="K124" s="5" t="s">
        <v>44</v>
      </c>
      <c r="L124" s="5" t="s">
        <v>44</v>
      </c>
      <c r="M124" s="5" t="s">
        <v>44</v>
      </c>
      <c r="N124" s="5">
        <v>22.51</v>
      </c>
      <c r="O124" s="5">
        <v>26.51</v>
      </c>
      <c r="P124" s="5">
        <v>0.52</v>
      </c>
      <c r="Q124" s="5">
        <v>0.11</v>
      </c>
      <c r="R124" s="5">
        <v>0.41</v>
      </c>
      <c r="S124" s="8">
        <v>1.1776988005330964</v>
      </c>
      <c r="T124" s="5" t="s">
        <v>44</v>
      </c>
      <c r="Y124" s="5" t="s">
        <v>44</v>
      </c>
      <c r="AB124" s="9" t="s">
        <v>44</v>
      </c>
      <c r="AC124" s="2" t="s">
        <v>47</v>
      </c>
      <c r="AD124" s="2">
        <v>0</v>
      </c>
      <c r="AE124" s="2" t="s">
        <v>48</v>
      </c>
      <c r="AF124" s="2" t="s">
        <v>33</v>
      </c>
      <c r="AG124" s="5">
        <v>0</v>
      </c>
      <c r="AH124" s="5" t="s">
        <v>33</v>
      </c>
      <c r="AI124" s="5" t="s">
        <v>33</v>
      </c>
      <c r="AJ124" s="5">
        <v>2</v>
      </c>
      <c r="AK124" s="5" t="s">
        <v>34</v>
      </c>
    </row>
    <row r="125" spans="1:37" x14ac:dyDescent="0.3">
      <c r="A125" s="5">
        <v>128</v>
      </c>
      <c r="B125" s="5" t="s">
        <v>39</v>
      </c>
      <c r="C125" s="5">
        <v>34</v>
      </c>
      <c r="D125" s="2">
        <v>14</v>
      </c>
      <c r="E125" s="5">
        <v>173</v>
      </c>
      <c r="F125" s="5">
        <v>88</v>
      </c>
      <c r="G125" s="6">
        <v>29.402920244578837</v>
      </c>
      <c r="H125" s="9" t="s">
        <v>42</v>
      </c>
      <c r="I125" s="2">
        <v>38</v>
      </c>
      <c r="J125" s="5" t="s">
        <v>44</v>
      </c>
      <c r="K125" s="5" t="s">
        <v>44</v>
      </c>
      <c r="L125" s="5" t="s">
        <v>44</v>
      </c>
      <c r="M125" s="5" t="s">
        <v>44</v>
      </c>
      <c r="N125" s="5">
        <v>19.5</v>
      </c>
      <c r="O125" s="5">
        <v>35.200000000000003</v>
      </c>
      <c r="P125" s="5">
        <v>0.72</v>
      </c>
      <c r="Q125" s="5">
        <v>0.12</v>
      </c>
      <c r="R125" s="5">
        <v>0.6</v>
      </c>
      <c r="S125" s="8">
        <v>1.8051282051282054</v>
      </c>
      <c r="T125" s="5" t="s">
        <v>44</v>
      </c>
      <c r="Y125" s="5" t="s">
        <v>44</v>
      </c>
      <c r="AB125" s="9" t="s">
        <v>44</v>
      </c>
      <c r="AC125" s="2" t="s">
        <v>46</v>
      </c>
      <c r="AD125" s="2">
        <v>0</v>
      </c>
      <c r="AE125" s="2" t="s">
        <v>52</v>
      </c>
      <c r="AF125" s="2" t="s">
        <v>33</v>
      </c>
      <c r="AG125" s="5">
        <v>0</v>
      </c>
      <c r="AH125" s="5" t="s">
        <v>33</v>
      </c>
      <c r="AI125" s="5" t="s">
        <v>33</v>
      </c>
      <c r="AJ125" s="5">
        <v>16</v>
      </c>
      <c r="AK125" s="5" t="s">
        <v>34</v>
      </c>
    </row>
    <row r="126" spans="1:37" x14ac:dyDescent="0.3">
      <c r="A126" s="5">
        <v>129</v>
      </c>
      <c r="B126" s="5" t="s">
        <v>39</v>
      </c>
      <c r="C126" s="5">
        <v>45</v>
      </c>
      <c r="D126" s="2">
        <v>22</v>
      </c>
      <c r="E126" s="5">
        <v>168</v>
      </c>
      <c r="F126" s="5">
        <v>67</v>
      </c>
      <c r="G126" s="6">
        <v>23.738662131519277</v>
      </c>
      <c r="H126" s="9" t="s">
        <v>33</v>
      </c>
      <c r="I126" s="2">
        <v>32</v>
      </c>
      <c r="J126" s="5" t="s">
        <v>44</v>
      </c>
      <c r="K126" s="5" t="s">
        <v>44</v>
      </c>
      <c r="L126" s="5" t="s">
        <v>44</v>
      </c>
      <c r="M126" s="5" t="s">
        <v>44</v>
      </c>
      <c r="N126" s="5">
        <v>59.64</v>
      </c>
      <c r="O126" s="5">
        <v>66.28</v>
      </c>
      <c r="P126" s="5">
        <v>0.36</v>
      </c>
      <c r="Q126" s="5">
        <v>0.09</v>
      </c>
      <c r="R126" s="5">
        <v>0.27</v>
      </c>
      <c r="S126" s="8">
        <v>1.1113346747149564</v>
      </c>
      <c r="T126" s="5" t="s">
        <v>44</v>
      </c>
      <c r="Y126" s="5" t="s">
        <v>44</v>
      </c>
      <c r="AB126" s="9" t="s">
        <v>44</v>
      </c>
      <c r="AC126" s="2" t="s">
        <v>47</v>
      </c>
      <c r="AD126" s="2">
        <v>0</v>
      </c>
      <c r="AE126" s="2" t="s">
        <v>49</v>
      </c>
      <c r="AF126" s="2" t="s">
        <v>85</v>
      </c>
      <c r="AG126" s="5">
        <v>1</v>
      </c>
      <c r="AH126" s="5" t="s">
        <v>88</v>
      </c>
      <c r="AI126" s="5" t="s">
        <v>88</v>
      </c>
      <c r="AJ126" s="5">
        <v>16</v>
      </c>
      <c r="AK126" s="5" t="s">
        <v>34</v>
      </c>
    </row>
    <row r="127" spans="1:37" x14ac:dyDescent="0.3">
      <c r="A127" s="5">
        <v>130</v>
      </c>
      <c r="B127" s="5" t="s">
        <v>39</v>
      </c>
      <c r="C127" s="5">
        <v>49</v>
      </c>
      <c r="D127" s="2">
        <v>16</v>
      </c>
      <c r="E127" s="5">
        <v>168</v>
      </c>
      <c r="F127" s="5">
        <v>66</v>
      </c>
      <c r="G127" s="6">
        <v>23.3843537414966</v>
      </c>
      <c r="H127" s="9" t="s">
        <v>33</v>
      </c>
      <c r="I127" s="2">
        <v>32</v>
      </c>
      <c r="J127" s="5" t="s">
        <v>44</v>
      </c>
      <c r="K127" s="5" t="s">
        <v>44</v>
      </c>
      <c r="L127" s="5" t="s">
        <v>44</v>
      </c>
      <c r="M127" s="5" t="s">
        <v>44</v>
      </c>
      <c r="N127" s="5">
        <v>38.200000000000003</v>
      </c>
      <c r="O127" s="5">
        <v>39</v>
      </c>
      <c r="P127" s="5">
        <v>0.45</v>
      </c>
      <c r="Q127" s="5">
        <v>0.2</v>
      </c>
      <c r="R127" s="5">
        <v>0.25</v>
      </c>
      <c r="S127" s="8">
        <v>1.0209424083769634</v>
      </c>
      <c r="T127" s="5" t="s">
        <v>44</v>
      </c>
      <c r="Y127" s="5" t="s">
        <v>44</v>
      </c>
      <c r="AB127" s="9" t="s">
        <v>44</v>
      </c>
      <c r="AC127" s="2" t="s">
        <v>46</v>
      </c>
      <c r="AD127" s="2">
        <v>0</v>
      </c>
      <c r="AE127" s="2" t="s">
        <v>49</v>
      </c>
      <c r="AF127" s="2" t="s">
        <v>33</v>
      </c>
      <c r="AG127" s="5">
        <v>0</v>
      </c>
      <c r="AH127" s="5" t="s">
        <v>33</v>
      </c>
      <c r="AI127" s="5" t="s">
        <v>33</v>
      </c>
      <c r="AJ127" s="5">
        <v>9</v>
      </c>
      <c r="AK127" s="5" t="s">
        <v>34</v>
      </c>
    </row>
    <row r="128" spans="1:37" ht="28.8" x14ac:dyDescent="0.3">
      <c r="A128" s="5">
        <v>131</v>
      </c>
      <c r="B128" s="5" t="s">
        <v>39</v>
      </c>
      <c r="C128" s="5">
        <v>33</v>
      </c>
      <c r="D128" s="2">
        <v>12</v>
      </c>
      <c r="E128" s="5">
        <v>173</v>
      </c>
      <c r="F128" s="5">
        <v>92</v>
      </c>
      <c r="G128" s="6">
        <v>30.73941661933242</v>
      </c>
      <c r="H128" s="9" t="s">
        <v>41</v>
      </c>
      <c r="I128" s="2">
        <v>40</v>
      </c>
      <c r="J128" s="5" t="s">
        <v>44</v>
      </c>
      <c r="K128" s="5" t="s">
        <v>44</v>
      </c>
      <c r="L128" s="5" t="s">
        <v>44</v>
      </c>
      <c r="M128" s="5" t="s">
        <v>44</v>
      </c>
      <c r="N128" s="5">
        <v>27.06</v>
      </c>
      <c r="O128" s="5">
        <v>39.840000000000003</v>
      </c>
      <c r="P128" s="5">
        <v>0.65</v>
      </c>
      <c r="Q128" s="5">
        <v>0.1</v>
      </c>
      <c r="R128" s="5">
        <v>0.55000000000000004</v>
      </c>
      <c r="S128" s="8">
        <v>1.4722838137472285</v>
      </c>
      <c r="T128" s="5" t="s">
        <v>45</v>
      </c>
      <c r="U128" s="5" t="s">
        <v>56</v>
      </c>
      <c r="V128" s="5" t="s">
        <v>61</v>
      </c>
      <c r="W128" s="5" t="s">
        <v>65</v>
      </c>
      <c r="X128" s="5" t="s">
        <v>67</v>
      </c>
      <c r="Y128" s="5" t="s">
        <v>44</v>
      </c>
      <c r="AB128" s="9" t="s">
        <v>44</v>
      </c>
      <c r="AC128" s="2" t="s">
        <v>46</v>
      </c>
      <c r="AD128" s="2">
        <v>0</v>
      </c>
      <c r="AE128" s="2" t="s">
        <v>50</v>
      </c>
      <c r="AF128" s="2" t="s">
        <v>33</v>
      </c>
      <c r="AG128" s="5">
        <v>0</v>
      </c>
      <c r="AH128" s="5" t="s">
        <v>33</v>
      </c>
      <c r="AI128" s="5" t="s">
        <v>33</v>
      </c>
      <c r="AJ128" s="5">
        <v>32</v>
      </c>
      <c r="AK128" s="5" t="s">
        <v>35</v>
      </c>
    </row>
    <row r="129" spans="1:37" ht="72" x14ac:dyDescent="0.3">
      <c r="A129" s="5">
        <v>132</v>
      </c>
      <c r="B129" s="5" t="s">
        <v>39</v>
      </c>
      <c r="C129" s="5">
        <v>50</v>
      </c>
      <c r="D129" s="2">
        <v>25</v>
      </c>
      <c r="E129" s="5">
        <v>168</v>
      </c>
      <c r="F129" s="5">
        <v>66</v>
      </c>
      <c r="G129" s="6">
        <v>23.3843537414966</v>
      </c>
      <c r="H129" s="9" t="s">
        <v>33</v>
      </c>
      <c r="I129" s="2">
        <v>32</v>
      </c>
      <c r="J129" s="5" t="s">
        <v>44</v>
      </c>
      <c r="K129" s="5" t="s">
        <v>45</v>
      </c>
      <c r="L129" s="5" t="s">
        <v>44</v>
      </c>
      <c r="M129" s="5" t="s">
        <v>45</v>
      </c>
      <c r="N129" s="5">
        <v>30.6</v>
      </c>
      <c r="O129" s="5">
        <v>35</v>
      </c>
      <c r="P129" s="5">
        <v>0.36</v>
      </c>
      <c r="Q129" s="5">
        <v>0.08</v>
      </c>
      <c r="R129" s="5">
        <v>0.28000000000000003</v>
      </c>
      <c r="S129" s="8">
        <v>1.1437908496732025</v>
      </c>
      <c r="T129" s="5" t="s">
        <v>45</v>
      </c>
      <c r="U129" s="5" t="s">
        <v>56</v>
      </c>
      <c r="V129" s="5" t="s">
        <v>60</v>
      </c>
      <c r="W129" s="5" t="s">
        <v>65</v>
      </c>
      <c r="X129" s="5" t="s">
        <v>71</v>
      </c>
      <c r="Y129" s="5" t="s">
        <v>44</v>
      </c>
      <c r="AB129" s="9" t="s">
        <v>44</v>
      </c>
      <c r="AC129" s="2" t="s">
        <v>46</v>
      </c>
      <c r="AD129" s="2">
        <v>0</v>
      </c>
      <c r="AE129" s="2" t="s">
        <v>49</v>
      </c>
      <c r="AF129" s="2" t="s">
        <v>33</v>
      </c>
      <c r="AG129" s="5">
        <v>0</v>
      </c>
      <c r="AH129" s="5" t="s">
        <v>33</v>
      </c>
      <c r="AI129" s="5" t="s">
        <v>33</v>
      </c>
      <c r="AJ129" s="5">
        <v>29</v>
      </c>
      <c r="AK129" s="5" t="s">
        <v>35</v>
      </c>
    </row>
    <row r="130" spans="1:37" x14ac:dyDescent="0.3">
      <c r="A130" s="5">
        <v>133</v>
      </c>
      <c r="B130" s="5" t="s">
        <v>39</v>
      </c>
      <c r="C130" s="5">
        <v>40</v>
      </c>
      <c r="D130" s="2">
        <v>18</v>
      </c>
      <c r="E130" s="5">
        <v>179</v>
      </c>
      <c r="F130" s="5">
        <v>60</v>
      </c>
      <c r="G130" s="6">
        <v>18.726007303142847</v>
      </c>
      <c r="H130" s="9" t="s">
        <v>33</v>
      </c>
      <c r="I130" s="2">
        <v>34</v>
      </c>
      <c r="J130" s="5" t="s">
        <v>44</v>
      </c>
      <c r="K130" s="5" t="s">
        <v>44</v>
      </c>
      <c r="L130" s="5" t="s">
        <v>44</v>
      </c>
      <c r="M130" s="5" t="s">
        <v>45</v>
      </c>
      <c r="N130" s="5">
        <v>37.4</v>
      </c>
      <c r="O130" s="5">
        <v>38.200000000000003</v>
      </c>
      <c r="P130" s="5">
        <v>0.92</v>
      </c>
      <c r="Q130" s="5">
        <v>0.11</v>
      </c>
      <c r="R130" s="5">
        <v>0.81</v>
      </c>
      <c r="S130" s="8">
        <v>1.0213903743315509</v>
      </c>
      <c r="T130" s="5" t="s">
        <v>44</v>
      </c>
      <c r="Y130" s="5" t="s">
        <v>44</v>
      </c>
      <c r="AB130" s="9" t="s">
        <v>44</v>
      </c>
      <c r="AC130" s="2" t="s">
        <v>46</v>
      </c>
      <c r="AD130" s="2">
        <v>0</v>
      </c>
      <c r="AE130" s="2" t="s">
        <v>52</v>
      </c>
      <c r="AF130" s="2" t="s">
        <v>33</v>
      </c>
      <c r="AG130" s="5">
        <v>0</v>
      </c>
      <c r="AH130" s="5" t="s">
        <v>33</v>
      </c>
      <c r="AI130" s="5" t="s">
        <v>33</v>
      </c>
      <c r="AJ130" s="5">
        <v>9</v>
      </c>
      <c r="AK130" s="5" t="s">
        <v>34</v>
      </c>
    </row>
    <row r="131" spans="1:37" x14ac:dyDescent="0.3">
      <c r="A131" s="5">
        <v>134</v>
      </c>
      <c r="B131" s="5" t="s">
        <v>39</v>
      </c>
      <c r="C131" s="5">
        <v>32</v>
      </c>
      <c r="D131" s="2">
        <v>8</v>
      </c>
      <c r="E131" s="5">
        <v>173</v>
      </c>
      <c r="F131" s="5">
        <v>61</v>
      </c>
      <c r="G131" s="6">
        <v>20.38156971499215</v>
      </c>
      <c r="H131" s="9" t="s">
        <v>33</v>
      </c>
      <c r="I131" s="2">
        <v>30</v>
      </c>
      <c r="J131" s="5" t="s">
        <v>44</v>
      </c>
      <c r="K131" s="5" t="s">
        <v>44</v>
      </c>
      <c r="L131" s="5" t="s">
        <v>45</v>
      </c>
      <c r="M131" s="5" t="s">
        <v>44</v>
      </c>
      <c r="N131" s="5">
        <v>27.87</v>
      </c>
      <c r="O131" s="5">
        <v>41.9</v>
      </c>
      <c r="P131" s="5">
        <v>1.66</v>
      </c>
      <c r="Q131" s="5">
        <v>0.22</v>
      </c>
      <c r="R131" s="5">
        <v>1.44</v>
      </c>
      <c r="S131" s="8">
        <v>1.5034086831718694</v>
      </c>
      <c r="T131" s="5" t="s">
        <v>44</v>
      </c>
      <c r="Y131" s="5" t="s">
        <v>44</v>
      </c>
      <c r="AB131" s="9" t="s">
        <v>44</v>
      </c>
      <c r="AC131" s="2" t="s">
        <v>47</v>
      </c>
      <c r="AD131" s="2">
        <v>0</v>
      </c>
      <c r="AE131" s="2" t="s">
        <v>49</v>
      </c>
      <c r="AF131" s="2" t="s">
        <v>85</v>
      </c>
      <c r="AG131" s="5">
        <v>1</v>
      </c>
      <c r="AH131" s="5" t="s">
        <v>87</v>
      </c>
      <c r="AI131" s="5" t="s">
        <v>87</v>
      </c>
      <c r="AJ131" s="5">
        <v>12</v>
      </c>
      <c r="AK131" s="5" t="s">
        <v>34</v>
      </c>
    </row>
    <row r="132" spans="1:37" x14ac:dyDescent="0.3">
      <c r="A132" s="5">
        <v>135</v>
      </c>
      <c r="B132" s="5" t="s">
        <v>39</v>
      </c>
      <c r="C132" s="5">
        <v>39</v>
      </c>
      <c r="D132" s="2">
        <v>16</v>
      </c>
      <c r="E132" s="5">
        <v>174</v>
      </c>
      <c r="F132" s="5">
        <v>76</v>
      </c>
      <c r="G132" s="6">
        <v>25.102391333069097</v>
      </c>
      <c r="H132" s="9" t="s">
        <v>42</v>
      </c>
      <c r="I132" s="2">
        <v>34</v>
      </c>
      <c r="J132" s="5" t="s">
        <v>44</v>
      </c>
      <c r="K132" s="5" t="s">
        <v>44</v>
      </c>
      <c r="L132" s="5" t="s">
        <v>44</v>
      </c>
      <c r="M132" s="5" t="s">
        <v>44</v>
      </c>
      <c r="N132" s="5">
        <v>25.43</v>
      </c>
      <c r="O132" s="5">
        <v>57.94</v>
      </c>
      <c r="P132" s="5">
        <v>0.56000000000000005</v>
      </c>
      <c r="Q132" s="5">
        <v>7.0000000000000007E-2</v>
      </c>
      <c r="R132" s="5">
        <v>0.49</v>
      </c>
      <c r="S132" s="8">
        <v>2.2784113252064491</v>
      </c>
      <c r="T132" s="5" t="s">
        <v>44</v>
      </c>
      <c r="Y132" s="5" t="s">
        <v>44</v>
      </c>
      <c r="AB132" s="9" t="s">
        <v>44</v>
      </c>
      <c r="AC132" s="2" t="s">
        <v>46</v>
      </c>
      <c r="AD132" s="2">
        <v>0</v>
      </c>
      <c r="AE132" s="2" t="s">
        <v>49</v>
      </c>
      <c r="AF132" s="2" t="s">
        <v>85</v>
      </c>
      <c r="AG132" s="5">
        <v>1</v>
      </c>
      <c r="AH132" s="5" t="s">
        <v>36</v>
      </c>
      <c r="AI132" s="5" t="s">
        <v>86</v>
      </c>
      <c r="AJ132" s="5">
        <v>15</v>
      </c>
      <c r="AK132" s="5" t="s">
        <v>34</v>
      </c>
    </row>
    <row r="133" spans="1:37" x14ac:dyDescent="0.3">
      <c r="A133" s="5">
        <v>136</v>
      </c>
      <c r="B133" s="5" t="s">
        <v>39</v>
      </c>
      <c r="C133" s="5">
        <v>47</v>
      </c>
      <c r="D133" s="2">
        <v>20</v>
      </c>
      <c r="E133" s="5">
        <v>165</v>
      </c>
      <c r="F133" s="5">
        <v>68</v>
      </c>
      <c r="G133" s="6">
        <v>25</v>
      </c>
      <c r="H133" s="9" t="s">
        <v>42</v>
      </c>
      <c r="I133" s="2">
        <v>34</v>
      </c>
      <c r="J133" s="5" t="s">
        <v>44</v>
      </c>
      <c r="K133" s="5" t="s">
        <v>44</v>
      </c>
      <c r="L133" s="5" t="s">
        <v>44</v>
      </c>
      <c r="M133" s="5" t="s">
        <v>44</v>
      </c>
      <c r="N133" s="5">
        <v>21.63</v>
      </c>
      <c r="O133" s="5">
        <v>53.46</v>
      </c>
      <c r="P133" s="5">
        <v>0.52</v>
      </c>
      <c r="Q133" s="5">
        <v>0.11</v>
      </c>
      <c r="R133" s="5">
        <v>0.41</v>
      </c>
      <c r="S133" s="8">
        <v>2.4715672676837728</v>
      </c>
      <c r="T133" s="5" t="s">
        <v>44</v>
      </c>
      <c r="Y133" s="5" t="s">
        <v>44</v>
      </c>
      <c r="AB133" s="9" t="s">
        <v>44</v>
      </c>
      <c r="AC133" s="2" t="s">
        <v>46</v>
      </c>
      <c r="AD133" s="2">
        <v>0</v>
      </c>
      <c r="AE133" s="2" t="s">
        <v>49</v>
      </c>
      <c r="AF133" s="2" t="s">
        <v>85</v>
      </c>
      <c r="AG133" s="5">
        <v>1</v>
      </c>
      <c r="AH133" s="5" t="s">
        <v>36</v>
      </c>
      <c r="AI133" s="5" t="s">
        <v>86</v>
      </c>
      <c r="AJ133" s="5">
        <v>17</v>
      </c>
      <c r="AK133" s="5" t="s">
        <v>34</v>
      </c>
    </row>
    <row r="134" spans="1:37" ht="28.8" x14ac:dyDescent="0.3">
      <c r="A134" s="5">
        <v>137</v>
      </c>
      <c r="B134" s="5" t="s">
        <v>39</v>
      </c>
      <c r="C134" s="5">
        <v>29</v>
      </c>
      <c r="D134" s="2">
        <v>6</v>
      </c>
      <c r="E134" s="5">
        <v>172</v>
      </c>
      <c r="F134" s="5">
        <v>70</v>
      </c>
      <c r="G134" s="6">
        <v>23.661438615467819</v>
      </c>
      <c r="H134" s="9" t="s">
        <v>33</v>
      </c>
      <c r="I134" s="2">
        <v>34</v>
      </c>
      <c r="J134" s="5" t="s">
        <v>44</v>
      </c>
      <c r="K134" s="5" t="s">
        <v>44</v>
      </c>
      <c r="L134" s="5" t="s">
        <v>44</v>
      </c>
      <c r="M134" s="5" t="s">
        <v>44</v>
      </c>
      <c r="N134" s="5">
        <v>22.21</v>
      </c>
      <c r="O134" s="5">
        <v>52.78</v>
      </c>
      <c r="P134" s="5">
        <v>0.15</v>
      </c>
      <c r="Q134" s="5">
        <v>0.09</v>
      </c>
      <c r="R134" s="5">
        <v>0.06</v>
      </c>
      <c r="S134" s="8">
        <v>2.3764070238631247</v>
      </c>
      <c r="T134" s="5" t="s">
        <v>45</v>
      </c>
      <c r="U134" s="5" t="s">
        <v>56</v>
      </c>
      <c r="V134" s="5" t="s">
        <v>61</v>
      </c>
      <c r="W134" s="5" t="s">
        <v>65</v>
      </c>
      <c r="X134" s="5" t="s">
        <v>67</v>
      </c>
      <c r="Y134" s="5" t="s">
        <v>45</v>
      </c>
      <c r="AA134" s="5" t="s">
        <v>81</v>
      </c>
      <c r="AB134" s="9" t="s">
        <v>44</v>
      </c>
      <c r="AC134" s="2" t="s">
        <v>47</v>
      </c>
      <c r="AD134" s="2">
        <v>0</v>
      </c>
      <c r="AE134" s="2" t="s">
        <v>49</v>
      </c>
      <c r="AF134" s="2" t="s">
        <v>85</v>
      </c>
      <c r="AG134" s="5">
        <v>1</v>
      </c>
      <c r="AH134" s="5" t="s">
        <v>36</v>
      </c>
      <c r="AI134" s="5" t="s">
        <v>89</v>
      </c>
      <c r="AJ134" s="5">
        <v>17</v>
      </c>
      <c r="AK134" s="5" t="s">
        <v>34</v>
      </c>
    </row>
    <row r="135" spans="1:37" x14ac:dyDescent="0.3">
      <c r="A135" s="5">
        <v>138</v>
      </c>
      <c r="B135" s="5" t="s">
        <v>39</v>
      </c>
      <c r="C135" s="5">
        <v>33</v>
      </c>
      <c r="D135" s="2">
        <v>10</v>
      </c>
      <c r="E135" s="5">
        <v>168</v>
      </c>
      <c r="F135" s="5">
        <v>82</v>
      </c>
      <c r="G135" s="6">
        <v>29.053287981859409</v>
      </c>
      <c r="H135" s="9" t="s">
        <v>42</v>
      </c>
      <c r="I135" s="2">
        <v>36</v>
      </c>
      <c r="J135" s="5" t="s">
        <v>44</v>
      </c>
      <c r="K135" s="5" t="s">
        <v>44</v>
      </c>
      <c r="L135" s="5" t="s">
        <v>44</v>
      </c>
      <c r="M135" s="5" t="s">
        <v>44</v>
      </c>
      <c r="N135" s="5">
        <v>28.1</v>
      </c>
      <c r="O135" s="5">
        <v>38.9</v>
      </c>
      <c r="P135" s="5">
        <v>0.65</v>
      </c>
      <c r="Q135" s="5">
        <v>0.06</v>
      </c>
      <c r="R135" s="5">
        <v>0.59</v>
      </c>
      <c r="S135" s="8">
        <v>1.384341637010676</v>
      </c>
      <c r="T135" s="5" t="s">
        <v>44</v>
      </c>
      <c r="Y135" s="5" t="s">
        <v>44</v>
      </c>
      <c r="AB135" s="9" t="s">
        <v>44</v>
      </c>
      <c r="AC135" s="2" t="s">
        <v>46</v>
      </c>
      <c r="AD135" s="2">
        <v>0</v>
      </c>
      <c r="AE135" s="2" t="s">
        <v>48</v>
      </c>
      <c r="AF135" s="2" t="s">
        <v>33</v>
      </c>
      <c r="AG135" s="5">
        <v>0</v>
      </c>
      <c r="AH135" s="5" t="s">
        <v>33</v>
      </c>
      <c r="AI135" s="5" t="s">
        <v>33</v>
      </c>
      <c r="AJ135" s="5">
        <v>13</v>
      </c>
      <c r="AK135" s="5" t="s">
        <v>34</v>
      </c>
    </row>
    <row r="136" spans="1:37" ht="72" x14ac:dyDescent="0.3">
      <c r="A136" s="5">
        <v>139</v>
      </c>
      <c r="B136" s="5" t="s">
        <v>39</v>
      </c>
      <c r="C136" s="5">
        <v>35</v>
      </c>
      <c r="D136" s="2">
        <v>9</v>
      </c>
      <c r="E136" s="5">
        <v>163</v>
      </c>
      <c r="F136" s="5">
        <v>77</v>
      </c>
      <c r="G136" s="6">
        <v>28.981143437841094</v>
      </c>
      <c r="H136" s="9" t="s">
        <v>42</v>
      </c>
      <c r="I136" s="2">
        <v>36</v>
      </c>
      <c r="J136" s="5" t="s">
        <v>44</v>
      </c>
      <c r="K136" s="5" t="s">
        <v>44</v>
      </c>
      <c r="L136" s="5" t="s">
        <v>44</v>
      </c>
      <c r="M136" s="5" t="s">
        <v>44</v>
      </c>
      <c r="N136" s="5">
        <v>29.61</v>
      </c>
      <c r="O136" s="5">
        <v>31.44</v>
      </c>
      <c r="P136" s="5">
        <v>0.45</v>
      </c>
      <c r="Q136" s="5">
        <v>0.1</v>
      </c>
      <c r="R136" s="5">
        <v>0.35</v>
      </c>
      <c r="S136" s="8">
        <v>1.0618034447821683</v>
      </c>
      <c r="T136" s="5" t="s">
        <v>45</v>
      </c>
      <c r="U136" s="5" t="s">
        <v>58</v>
      </c>
      <c r="V136" s="5" t="s">
        <v>61</v>
      </c>
      <c r="W136" s="5" t="s">
        <v>64</v>
      </c>
      <c r="X136" s="5" t="s">
        <v>71</v>
      </c>
      <c r="Y136" s="5" t="s">
        <v>45</v>
      </c>
      <c r="AA136" s="5" t="s">
        <v>82</v>
      </c>
      <c r="AB136" s="9" t="s">
        <v>44</v>
      </c>
      <c r="AC136" s="2" t="s">
        <v>46</v>
      </c>
      <c r="AD136" s="2">
        <v>0</v>
      </c>
      <c r="AE136" s="2" t="s">
        <v>48</v>
      </c>
      <c r="AF136" s="2" t="s">
        <v>33</v>
      </c>
      <c r="AG136" s="5">
        <v>0</v>
      </c>
      <c r="AH136" s="5" t="s">
        <v>33</v>
      </c>
      <c r="AI136" s="5" t="s">
        <v>33</v>
      </c>
      <c r="AJ136" s="5">
        <v>31</v>
      </c>
      <c r="AK136" s="5" t="s">
        <v>35</v>
      </c>
    </row>
    <row r="137" spans="1:37" x14ac:dyDescent="0.3">
      <c r="A137" s="5">
        <v>140</v>
      </c>
      <c r="B137" s="5" t="s">
        <v>39</v>
      </c>
      <c r="C137" s="5">
        <v>29</v>
      </c>
      <c r="D137" s="2">
        <v>10</v>
      </c>
      <c r="E137" s="5">
        <v>165</v>
      </c>
      <c r="F137" s="5">
        <v>56</v>
      </c>
      <c r="G137" s="6">
        <v>20.569329660238751</v>
      </c>
      <c r="H137" s="9" t="s">
        <v>33</v>
      </c>
      <c r="I137" s="2">
        <v>30</v>
      </c>
      <c r="J137" s="5" t="s">
        <v>44</v>
      </c>
      <c r="K137" s="5" t="s">
        <v>44</v>
      </c>
      <c r="L137" s="5" t="s">
        <v>44</v>
      </c>
      <c r="M137" s="5" t="s">
        <v>44</v>
      </c>
      <c r="N137" s="5">
        <v>22.4</v>
      </c>
      <c r="O137" s="5">
        <v>35.200000000000003</v>
      </c>
      <c r="P137" s="5">
        <v>0.38</v>
      </c>
      <c r="Q137" s="5">
        <v>0.12</v>
      </c>
      <c r="R137" s="5">
        <v>0.26</v>
      </c>
      <c r="S137" s="8">
        <v>1.5714285714285716</v>
      </c>
      <c r="T137" s="5" t="s">
        <v>44</v>
      </c>
      <c r="Y137" s="5" t="s">
        <v>44</v>
      </c>
      <c r="AB137" s="9" t="s">
        <v>44</v>
      </c>
      <c r="AC137" s="2" t="s">
        <v>46</v>
      </c>
      <c r="AD137" s="2">
        <v>0</v>
      </c>
      <c r="AE137" s="2" t="s">
        <v>52</v>
      </c>
      <c r="AF137" s="2" t="s">
        <v>33</v>
      </c>
      <c r="AG137" s="5">
        <v>0</v>
      </c>
      <c r="AH137" s="5" t="s">
        <v>33</v>
      </c>
      <c r="AI137" s="5" t="s">
        <v>33</v>
      </c>
      <c r="AJ137" s="5">
        <v>6</v>
      </c>
      <c r="AK137" s="5" t="s">
        <v>34</v>
      </c>
    </row>
    <row r="138" spans="1:37" x14ac:dyDescent="0.3">
      <c r="A138" s="5">
        <v>141</v>
      </c>
      <c r="B138" s="5" t="s">
        <v>39</v>
      </c>
      <c r="C138" s="5">
        <v>34</v>
      </c>
      <c r="D138" s="2">
        <v>10</v>
      </c>
      <c r="E138" s="5">
        <v>163</v>
      </c>
      <c r="F138" s="5">
        <v>74</v>
      </c>
      <c r="G138" s="6">
        <v>27.852007979223906</v>
      </c>
      <c r="H138" s="9" t="s">
        <v>42</v>
      </c>
      <c r="I138" s="2">
        <v>34</v>
      </c>
      <c r="J138" s="5" t="s">
        <v>44</v>
      </c>
      <c r="K138" s="5" t="s">
        <v>44</v>
      </c>
      <c r="L138" s="5" t="s">
        <v>44</v>
      </c>
      <c r="M138" s="5" t="s">
        <v>44</v>
      </c>
      <c r="N138" s="5">
        <v>29</v>
      </c>
      <c r="O138" s="5">
        <v>32.6</v>
      </c>
      <c r="P138" s="5">
        <v>0.49</v>
      </c>
      <c r="Q138" s="5">
        <v>0.16</v>
      </c>
      <c r="R138" s="5">
        <v>0.33</v>
      </c>
      <c r="S138" s="8">
        <v>1.1241379310344828</v>
      </c>
      <c r="T138" s="5" t="s">
        <v>44</v>
      </c>
      <c r="Y138" s="5" t="s">
        <v>44</v>
      </c>
      <c r="AB138" s="9" t="s">
        <v>44</v>
      </c>
      <c r="AC138" s="2" t="s">
        <v>47</v>
      </c>
      <c r="AD138" s="2">
        <v>0</v>
      </c>
      <c r="AE138" s="2" t="s">
        <v>49</v>
      </c>
      <c r="AF138" s="2" t="s">
        <v>33</v>
      </c>
      <c r="AG138" s="5">
        <v>0</v>
      </c>
      <c r="AH138" s="5" t="s">
        <v>33</v>
      </c>
      <c r="AI138" s="5" t="s">
        <v>33</v>
      </c>
      <c r="AJ138" s="5">
        <v>9</v>
      </c>
      <c r="AK138" s="5" t="s">
        <v>34</v>
      </c>
    </row>
    <row r="139" spans="1:37" x14ac:dyDescent="0.3">
      <c r="A139" s="5">
        <v>142</v>
      </c>
      <c r="B139" s="5" t="s">
        <v>39</v>
      </c>
      <c r="C139" s="5">
        <v>29</v>
      </c>
      <c r="D139" s="2">
        <v>7</v>
      </c>
      <c r="E139" s="5">
        <v>175</v>
      </c>
      <c r="F139" s="5">
        <v>78</v>
      </c>
      <c r="G139" s="6">
        <v>25.469387755102041</v>
      </c>
      <c r="H139" s="9" t="s">
        <v>42</v>
      </c>
      <c r="I139" s="2">
        <v>34</v>
      </c>
      <c r="J139" s="5" t="s">
        <v>44</v>
      </c>
      <c r="K139" s="5" t="s">
        <v>44</v>
      </c>
      <c r="L139" s="5" t="s">
        <v>44</v>
      </c>
      <c r="M139" s="5" t="s">
        <v>44</v>
      </c>
      <c r="N139" s="5">
        <v>35.880000000000003</v>
      </c>
      <c r="O139" s="5">
        <v>52.27</v>
      </c>
      <c r="P139" s="5">
        <v>0.42</v>
      </c>
      <c r="Q139" s="5">
        <v>7.0000000000000007E-2</v>
      </c>
      <c r="R139" s="5">
        <v>0.35</v>
      </c>
      <c r="S139" s="8">
        <v>1.4568004459308808</v>
      </c>
      <c r="T139" s="5" t="s">
        <v>44</v>
      </c>
      <c r="Y139" s="5" t="s">
        <v>44</v>
      </c>
      <c r="AB139" s="9" t="s">
        <v>44</v>
      </c>
      <c r="AC139" s="2" t="s">
        <v>46</v>
      </c>
      <c r="AD139" s="2">
        <v>0</v>
      </c>
      <c r="AE139" s="2" t="s">
        <v>49</v>
      </c>
      <c r="AF139" s="2" t="s">
        <v>85</v>
      </c>
      <c r="AG139" s="5">
        <v>1</v>
      </c>
      <c r="AH139" s="5" t="s">
        <v>37</v>
      </c>
      <c r="AI139" s="5" t="s">
        <v>37</v>
      </c>
      <c r="AJ139" s="5">
        <v>14</v>
      </c>
      <c r="AK139" s="5" t="s">
        <v>34</v>
      </c>
    </row>
    <row r="140" spans="1:37" x14ac:dyDescent="0.3">
      <c r="A140" s="5">
        <v>143</v>
      </c>
      <c r="B140" s="5" t="s">
        <v>39</v>
      </c>
      <c r="C140" s="5">
        <v>38</v>
      </c>
      <c r="D140" s="2">
        <v>13</v>
      </c>
      <c r="E140" s="5">
        <v>171</v>
      </c>
      <c r="F140" s="5">
        <v>76</v>
      </c>
      <c r="G140" s="6">
        <v>25.990903183885639</v>
      </c>
      <c r="H140" s="9" t="s">
        <v>42</v>
      </c>
      <c r="I140" s="2">
        <v>32</v>
      </c>
      <c r="J140" s="5" t="s">
        <v>44</v>
      </c>
      <c r="K140" s="5" t="s">
        <v>44</v>
      </c>
      <c r="L140" s="5" t="s">
        <v>44</v>
      </c>
      <c r="M140" s="5" t="s">
        <v>44</v>
      </c>
      <c r="N140" s="5">
        <v>41.66</v>
      </c>
      <c r="O140" s="5">
        <v>37.36</v>
      </c>
      <c r="P140" s="5">
        <v>0.61</v>
      </c>
      <c r="Q140" s="5">
        <v>0.09</v>
      </c>
      <c r="R140" s="5">
        <v>0.52</v>
      </c>
      <c r="S140" s="8">
        <v>0.89678348535765728</v>
      </c>
      <c r="T140" s="5" t="s">
        <v>44</v>
      </c>
      <c r="Y140" s="5" t="s">
        <v>44</v>
      </c>
      <c r="AB140" s="9" t="s">
        <v>44</v>
      </c>
      <c r="AC140" s="2" t="s">
        <v>46</v>
      </c>
      <c r="AD140" s="2">
        <v>0</v>
      </c>
      <c r="AE140" s="2" t="s">
        <v>48</v>
      </c>
      <c r="AF140" s="2" t="s">
        <v>33</v>
      </c>
      <c r="AG140" s="5">
        <v>0</v>
      </c>
      <c r="AH140" s="5" t="s">
        <v>33</v>
      </c>
      <c r="AI140" s="5" t="s">
        <v>33</v>
      </c>
      <c r="AJ140" s="5">
        <v>12</v>
      </c>
      <c r="AK140" s="5" t="s">
        <v>34</v>
      </c>
    </row>
    <row r="141" spans="1:37" x14ac:dyDescent="0.3">
      <c r="A141" s="5">
        <v>144</v>
      </c>
      <c r="B141" s="5" t="s">
        <v>40</v>
      </c>
      <c r="C141" s="5">
        <v>23</v>
      </c>
      <c r="D141" s="2">
        <v>1</v>
      </c>
      <c r="E141" s="5">
        <v>156</v>
      </c>
      <c r="F141" s="5">
        <v>53</v>
      </c>
      <c r="G141" s="6">
        <v>21.778435239973703</v>
      </c>
      <c r="H141" s="9" t="s">
        <v>33</v>
      </c>
      <c r="I141" s="2">
        <v>30</v>
      </c>
      <c r="J141" s="5" t="s">
        <v>44</v>
      </c>
      <c r="K141" s="5" t="s">
        <v>44</v>
      </c>
      <c r="L141" s="5" t="s">
        <v>44</v>
      </c>
      <c r="M141" s="5" t="s">
        <v>44</v>
      </c>
      <c r="N141" s="5">
        <v>25.6</v>
      </c>
      <c r="O141" s="5">
        <v>35.200000000000003</v>
      </c>
      <c r="P141" s="5">
        <v>0.28999999999999998</v>
      </c>
      <c r="Q141" s="5">
        <v>0.06</v>
      </c>
      <c r="R141" s="5">
        <v>0.23</v>
      </c>
      <c r="S141" s="8">
        <v>1.375</v>
      </c>
      <c r="T141" s="5" t="s">
        <v>44</v>
      </c>
      <c r="Y141" s="5" t="s">
        <v>44</v>
      </c>
      <c r="AB141" s="9" t="s">
        <v>44</v>
      </c>
      <c r="AC141" s="2" t="s">
        <v>46</v>
      </c>
      <c r="AD141" s="2">
        <v>0</v>
      </c>
      <c r="AE141" s="2" t="s">
        <v>52</v>
      </c>
      <c r="AF141" s="2" t="s">
        <v>33</v>
      </c>
      <c r="AG141" s="5">
        <v>0</v>
      </c>
      <c r="AH141" s="5" t="s">
        <v>33</v>
      </c>
      <c r="AI141" s="5" t="s">
        <v>33</v>
      </c>
      <c r="AJ141" s="5">
        <v>5</v>
      </c>
      <c r="AK141" s="5" t="s">
        <v>34</v>
      </c>
    </row>
    <row r="142" spans="1:37" x14ac:dyDescent="0.3">
      <c r="A142" s="5">
        <v>145</v>
      </c>
      <c r="B142" s="5" t="s">
        <v>39</v>
      </c>
      <c r="C142" s="5">
        <v>34</v>
      </c>
      <c r="D142" s="2">
        <v>13</v>
      </c>
      <c r="E142" s="5">
        <v>185</v>
      </c>
      <c r="F142" s="5">
        <v>65</v>
      </c>
      <c r="G142" s="6">
        <v>18.991964937910886</v>
      </c>
      <c r="H142" s="9" t="s">
        <v>33</v>
      </c>
      <c r="I142" s="2">
        <v>30</v>
      </c>
      <c r="J142" s="5" t="s">
        <v>44</v>
      </c>
      <c r="K142" s="5" t="s">
        <v>44</v>
      </c>
      <c r="L142" s="5" t="s">
        <v>44</v>
      </c>
      <c r="M142" s="5" t="s">
        <v>45</v>
      </c>
      <c r="N142" s="5">
        <v>38.9</v>
      </c>
      <c r="O142" s="5">
        <v>35.6</v>
      </c>
      <c r="P142" s="5">
        <v>1.19</v>
      </c>
      <c r="Q142" s="5">
        <v>0.12</v>
      </c>
      <c r="R142" s="5">
        <v>1.07</v>
      </c>
      <c r="S142" s="8">
        <v>0.91516709511568128</v>
      </c>
      <c r="T142" s="5" t="s">
        <v>44</v>
      </c>
      <c r="Y142" s="5" t="s">
        <v>44</v>
      </c>
      <c r="AB142" s="9" t="s">
        <v>44</v>
      </c>
      <c r="AC142" s="2" t="s">
        <v>47</v>
      </c>
      <c r="AD142" s="2">
        <v>1</v>
      </c>
      <c r="AE142" s="2" t="s">
        <v>52</v>
      </c>
      <c r="AF142" s="2" t="s">
        <v>33</v>
      </c>
      <c r="AG142" s="5">
        <v>0</v>
      </c>
      <c r="AH142" s="5" t="s">
        <v>33</v>
      </c>
      <c r="AI142" s="5" t="s">
        <v>33</v>
      </c>
      <c r="AJ142" s="5">
        <v>8</v>
      </c>
      <c r="AK142" s="5" t="s">
        <v>34</v>
      </c>
    </row>
    <row r="143" spans="1:37" x14ac:dyDescent="0.3">
      <c r="A143" s="5">
        <v>146</v>
      </c>
      <c r="B143" s="5" t="s">
        <v>39</v>
      </c>
      <c r="C143" s="5">
        <v>39</v>
      </c>
      <c r="D143" s="2">
        <v>14</v>
      </c>
      <c r="E143" s="5">
        <v>172</v>
      </c>
      <c r="F143" s="5">
        <v>71</v>
      </c>
      <c r="G143" s="6">
        <v>23.999459167117362</v>
      </c>
      <c r="H143" s="9" t="s">
        <v>33</v>
      </c>
      <c r="I143" s="2">
        <v>32</v>
      </c>
      <c r="J143" s="5" t="s">
        <v>44</v>
      </c>
      <c r="K143" s="5" t="s">
        <v>44</v>
      </c>
      <c r="L143" s="5" t="s">
        <v>44</v>
      </c>
      <c r="M143" s="5" t="s">
        <v>44</v>
      </c>
      <c r="N143" s="5">
        <v>27.56</v>
      </c>
      <c r="O143" s="5">
        <v>33.97</v>
      </c>
      <c r="P143" s="5">
        <v>0.9</v>
      </c>
      <c r="Q143" s="5">
        <v>0.13</v>
      </c>
      <c r="R143" s="5">
        <v>0.77</v>
      </c>
      <c r="S143" s="8">
        <v>1.2325834542815675</v>
      </c>
      <c r="T143" s="5" t="s">
        <v>44</v>
      </c>
      <c r="Y143" s="5" t="s">
        <v>44</v>
      </c>
      <c r="AB143" s="9" t="s">
        <v>44</v>
      </c>
      <c r="AC143" s="2" t="s">
        <v>47</v>
      </c>
      <c r="AD143" s="2">
        <v>0</v>
      </c>
      <c r="AE143" s="2" t="s">
        <v>49</v>
      </c>
      <c r="AF143" s="2" t="s">
        <v>33</v>
      </c>
      <c r="AG143" s="5">
        <v>0</v>
      </c>
      <c r="AH143" s="5" t="s">
        <v>33</v>
      </c>
      <c r="AI143" s="5" t="s">
        <v>33</v>
      </c>
      <c r="AJ143" s="5">
        <v>5</v>
      </c>
      <c r="AK143" s="5" t="s">
        <v>34</v>
      </c>
    </row>
    <row r="144" spans="1:37" x14ac:dyDescent="0.3">
      <c r="A144" s="5">
        <v>147</v>
      </c>
      <c r="B144" s="5" t="s">
        <v>39</v>
      </c>
      <c r="C144" s="5">
        <v>31</v>
      </c>
      <c r="D144" s="2">
        <v>8</v>
      </c>
      <c r="E144" s="5">
        <v>174</v>
      </c>
      <c r="F144" s="5">
        <v>61</v>
      </c>
      <c r="G144" s="6">
        <v>20.147971991015986</v>
      </c>
      <c r="H144" s="9" t="s">
        <v>33</v>
      </c>
      <c r="I144" s="2">
        <v>28</v>
      </c>
      <c r="J144" s="5" t="s">
        <v>44</v>
      </c>
      <c r="K144" s="5" t="s">
        <v>44</v>
      </c>
      <c r="L144" s="5" t="s">
        <v>44</v>
      </c>
      <c r="M144" s="5" t="s">
        <v>44</v>
      </c>
      <c r="N144" s="5">
        <v>21.4</v>
      </c>
      <c r="O144" s="5">
        <v>42.9</v>
      </c>
      <c r="P144" s="5">
        <v>0.4</v>
      </c>
      <c r="Q144" s="5">
        <v>0.02</v>
      </c>
      <c r="R144" s="5">
        <v>0.38</v>
      </c>
      <c r="S144" s="8">
        <v>2.004672897196262</v>
      </c>
      <c r="T144" s="5" t="s">
        <v>44</v>
      </c>
      <c r="Y144" s="5" t="s">
        <v>44</v>
      </c>
      <c r="AB144" s="9" t="s">
        <v>44</v>
      </c>
      <c r="AC144" s="2" t="s">
        <v>46</v>
      </c>
      <c r="AD144" s="2">
        <v>0</v>
      </c>
      <c r="AE144" s="2" t="s">
        <v>52</v>
      </c>
      <c r="AF144" s="2" t="s">
        <v>85</v>
      </c>
      <c r="AG144" s="5">
        <v>1</v>
      </c>
      <c r="AH144" s="5" t="s">
        <v>36</v>
      </c>
      <c r="AI144" s="5" t="s">
        <v>86</v>
      </c>
      <c r="AJ144" s="5">
        <v>9</v>
      </c>
      <c r="AK144" s="5" t="s">
        <v>34</v>
      </c>
    </row>
    <row r="145" spans="1:37" ht="28.8" x14ac:dyDescent="0.3">
      <c r="A145" s="5">
        <v>148</v>
      </c>
      <c r="B145" s="5" t="s">
        <v>39</v>
      </c>
      <c r="C145" s="5">
        <v>32</v>
      </c>
      <c r="D145" s="2">
        <v>9</v>
      </c>
      <c r="E145" s="5">
        <v>155</v>
      </c>
      <c r="F145" s="5">
        <v>65</v>
      </c>
      <c r="G145" s="6">
        <v>27.055150884495319</v>
      </c>
      <c r="H145" s="9" t="s">
        <v>42</v>
      </c>
      <c r="I145" s="2">
        <v>32</v>
      </c>
      <c r="J145" s="5" t="s">
        <v>44</v>
      </c>
      <c r="K145" s="5" t="s">
        <v>44</v>
      </c>
      <c r="L145" s="5" t="s">
        <v>45</v>
      </c>
      <c r="M145" s="5" t="s">
        <v>44</v>
      </c>
      <c r="N145" s="5">
        <v>56.2</v>
      </c>
      <c r="O145" s="5">
        <v>38.200000000000003</v>
      </c>
      <c r="P145" s="5">
        <v>0.8</v>
      </c>
      <c r="Q145" s="5">
        <v>0.08</v>
      </c>
      <c r="R145" s="5">
        <v>0.72</v>
      </c>
      <c r="S145" s="8">
        <v>0.67971530249110323</v>
      </c>
      <c r="T145" s="5" t="s">
        <v>45</v>
      </c>
      <c r="U145" s="5" t="s">
        <v>56</v>
      </c>
      <c r="V145" s="5" t="s">
        <v>61</v>
      </c>
      <c r="W145" s="5" t="s">
        <v>65</v>
      </c>
      <c r="X145" s="5" t="s">
        <v>67</v>
      </c>
      <c r="Y145" s="5" t="s">
        <v>44</v>
      </c>
      <c r="AB145" s="9" t="s">
        <v>44</v>
      </c>
      <c r="AC145" s="2" t="s">
        <v>47</v>
      </c>
      <c r="AD145" s="2">
        <v>0</v>
      </c>
      <c r="AE145" s="2" t="s">
        <v>49</v>
      </c>
      <c r="AF145" s="2" t="s">
        <v>85</v>
      </c>
      <c r="AG145" s="5">
        <v>1</v>
      </c>
      <c r="AH145" s="5" t="s">
        <v>37</v>
      </c>
      <c r="AI145" s="5" t="s">
        <v>37</v>
      </c>
      <c r="AJ145" s="5">
        <v>22</v>
      </c>
      <c r="AK145" s="5" t="s">
        <v>35</v>
      </c>
    </row>
    <row r="146" spans="1:37" x14ac:dyDescent="0.3">
      <c r="A146" s="5">
        <v>149</v>
      </c>
      <c r="B146" s="5" t="s">
        <v>39</v>
      </c>
      <c r="C146" s="5">
        <v>30</v>
      </c>
      <c r="D146" s="2">
        <v>6</v>
      </c>
      <c r="E146" s="5">
        <v>165</v>
      </c>
      <c r="F146" s="5">
        <v>66</v>
      </c>
      <c r="G146" s="6">
        <v>24.242424242424242</v>
      </c>
      <c r="H146" s="9" t="s">
        <v>33</v>
      </c>
      <c r="I146" s="2">
        <v>30</v>
      </c>
      <c r="J146" s="5" t="s">
        <v>44</v>
      </c>
      <c r="K146" s="5" t="s">
        <v>44</v>
      </c>
      <c r="L146" s="5" t="s">
        <v>44</v>
      </c>
      <c r="M146" s="5" t="s">
        <v>44</v>
      </c>
      <c r="N146" s="5">
        <v>29</v>
      </c>
      <c r="O146" s="5">
        <v>42.8</v>
      </c>
      <c r="P146" s="5">
        <v>0.38</v>
      </c>
      <c r="Q146" s="5">
        <v>0.03</v>
      </c>
      <c r="R146" s="5">
        <v>0.35</v>
      </c>
      <c r="S146" s="8">
        <v>1.4758620689655171</v>
      </c>
      <c r="T146" s="5" t="s">
        <v>44</v>
      </c>
      <c r="Y146" s="5" t="s">
        <v>44</v>
      </c>
      <c r="AB146" s="9" t="s">
        <v>44</v>
      </c>
      <c r="AC146" s="2" t="s">
        <v>47</v>
      </c>
      <c r="AD146" s="2">
        <v>0</v>
      </c>
      <c r="AE146" s="2" t="s">
        <v>48</v>
      </c>
      <c r="AF146" s="2" t="s">
        <v>85</v>
      </c>
      <c r="AG146" s="5">
        <v>1</v>
      </c>
      <c r="AH146" s="5" t="s">
        <v>88</v>
      </c>
      <c r="AI146" s="5" t="s">
        <v>88</v>
      </c>
      <c r="AJ146" s="5">
        <v>4</v>
      </c>
      <c r="AK146" s="5" t="s">
        <v>34</v>
      </c>
    </row>
    <row r="147" spans="1:37" x14ac:dyDescent="0.3">
      <c r="A147" s="5">
        <v>150</v>
      </c>
      <c r="B147" s="5" t="s">
        <v>39</v>
      </c>
      <c r="C147" s="5">
        <v>39</v>
      </c>
      <c r="D147" s="2">
        <v>15</v>
      </c>
      <c r="E147" s="5">
        <v>180</v>
      </c>
      <c r="F147" s="5">
        <v>78</v>
      </c>
      <c r="G147" s="6">
        <v>24.074074074074076</v>
      </c>
      <c r="H147" s="9" t="s">
        <v>33</v>
      </c>
      <c r="I147" s="2">
        <v>36</v>
      </c>
      <c r="J147" s="5" t="s">
        <v>44</v>
      </c>
      <c r="K147" s="5" t="s">
        <v>44</v>
      </c>
      <c r="L147" s="5" t="s">
        <v>45</v>
      </c>
      <c r="M147" s="5" t="s">
        <v>44</v>
      </c>
      <c r="N147" s="5">
        <v>54.1</v>
      </c>
      <c r="O147" s="5">
        <v>42.8</v>
      </c>
      <c r="P147" s="5">
        <v>0.5</v>
      </c>
      <c r="Q147" s="5">
        <v>0.02</v>
      </c>
      <c r="R147" s="5">
        <v>0.48</v>
      </c>
      <c r="S147" s="8">
        <v>0.79112754158964871</v>
      </c>
      <c r="T147" s="5" t="s">
        <v>44</v>
      </c>
      <c r="Y147" s="5" t="s">
        <v>44</v>
      </c>
      <c r="AB147" s="9" t="s">
        <v>44</v>
      </c>
      <c r="AC147" s="2" t="s">
        <v>47</v>
      </c>
      <c r="AD147" s="2">
        <v>0</v>
      </c>
      <c r="AE147" s="2" t="s">
        <v>49</v>
      </c>
      <c r="AF147" s="2" t="s">
        <v>85</v>
      </c>
      <c r="AG147" s="5">
        <v>1</v>
      </c>
      <c r="AH147" s="5" t="s">
        <v>37</v>
      </c>
      <c r="AI147" s="5" t="s">
        <v>37</v>
      </c>
      <c r="AJ147" s="5">
        <v>14</v>
      </c>
      <c r="AK147" s="5" t="s">
        <v>34</v>
      </c>
    </row>
    <row r="148" spans="1:37" x14ac:dyDescent="0.3">
      <c r="A148" s="5">
        <v>151</v>
      </c>
      <c r="B148" s="5" t="s">
        <v>39</v>
      </c>
      <c r="C148" s="5">
        <v>43</v>
      </c>
      <c r="D148" s="2">
        <v>21</v>
      </c>
      <c r="E148" s="5">
        <v>167</v>
      </c>
      <c r="F148" s="5">
        <v>60</v>
      </c>
      <c r="G148" s="6">
        <v>21.51385851052386</v>
      </c>
      <c r="H148" s="9" t="s">
        <v>33</v>
      </c>
      <c r="I148" s="2">
        <v>30</v>
      </c>
      <c r="J148" s="5" t="s">
        <v>44</v>
      </c>
      <c r="K148" s="5" t="s">
        <v>44</v>
      </c>
      <c r="L148" s="5" t="s">
        <v>44</v>
      </c>
      <c r="M148" s="5" t="s">
        <v>45</v>
      </c>
      <c r="N148" s="5">
        <v>13.75</v>
      </c>
      <c r="O148" s="5">
        <v>31.57</v>
      </c>
      <c r="P148" s="5">
        <v>0.31</v>
      </c>
      <c r="Q148" s="5">
        <v>0.09</v>
      </c>
      <c r="R148" s="5">
        <v>0.22</v>
      </c>
      <c r="S148" s="8">
        <v>2.2959999999999998</v>
      </c>
      <c r="T148" s="5" t="s">
        <v>44</v>
      </c>
      <c r="Y148" s="5" t="s">
        <v>44</v>
      </c>
      <c r="AB148" s="9" t="s">
        <v>44</v>
      </c>
      <c r="AC148" s="2" t="s">
        <v>46</v>
      </c>
      <c r="AD148" s="2">
        <v>0</v>
      </c>
      <c r="AE148" s="2" t="s">
        <v>49</v>
      </c>
      <c r="AF148" s="2" t="s">
        <v>33</v>
      </c>
      <c r="AG148" s="5">
        <v>0</v>
      </c>
      <c r="AH148" s="5" t="s">
        <v>33</v>
      </c>
      <c r="AI148" s="5" t="s">
        <v>33</v>
      </c>
      <c r="AJ148" s="5">
        <v>8</v>
      </c>
      <c r="AK148" s="5" t="s">
        <v>34</v>
      </c>
    </row>
    <row r="149" spans="1:37" x14ac:dyDescent="0.3">
      <c r="A149" s="5">
        <v>152</v>
      </c>
      <c r="B149" s="5" t="s">
        <v>39</v>
      </c>
      <c r="C149" s="5">
        <v>54</v>
      </c>
      <c r="D149" s="2">
        <v>33</v>
      </c>
      <c r="E149" s="5">
        <v>167</v>
      </c>
      <c r="F149" s="5">
        <v>67</v>
      </c>
      <c r="G149" s="6">
        <v>24.023808670084978</v>
      </c>
      <c r="H149" s="9" t="s">
        <v>33</v>
      </c>
      <c r="I149" s="2">
        <v>32</v>
      </c>
      <c r="J149" s="5" t="s">
        <v>45</v>
      </c>
      <c r="K149" s="5" t="s">
        <v>45</v>
      </c>
      <c r="L149" s="5" t="s">
        <v>45</v>
      </c>
      <c r="M149" s="5" t="s">
        <v>45</v>
      </c>
      <c r="N149" s="5">
        <v>28.3</v>
      </c>
      <c r="O149" s="5">
        <v>38.6</v>
      </c>
      <c r="P149" s="5">
        <v>0.55000000000000004</v>
      </c>
      <c r="Q149" s="5">
        <v>0.01</v>
      </c>
      <c r="R149" s="5">
        <v>0.54</v>
      </c>
      <c r="S149" s="8">
        <v>1.3639575971731448</v>
      </c>
      <c r="T149" s="5" t="s">
        <v>45</v>
      </c>
      <c r="U149" s="5" t="s">
        <v>55</v>
      </c>
      <c r="V149" s="5" t="s">
        <v>61</v>
      </c>
      <c r="W149" s="5" t="s">
        <v>65</v>
      </c>
      <c r="X149" s="5" t="s">
        <v>72</v>
      </c>
      <c r="Y149" s="5" t="s">
        <v>44</v>
      </c>
      <c r="AB149" s="9" t="s">
        <v>44</v>
      </c>
      <c r="AC149" s="2" t="s">
        <v>46</v>
      </c>
      <c r="AD149" s="2">
        <v>0</v>
      </c>
      <c r="AE149" s="2" t="s">
        <v>48</v>
      </c>
      <c r="AF149" s="2" t="s">
        <v>33</v>
      </c>
      <c r="AG149" s="5">
        <v>0</v>
      </c>
      <c r="AH149" s="5" t="s">
        <v>33</v>
      </c>
      <c r="AI149" s="5" t="s">
        <v>33</v>
      </c>
      <c r="AJ149" s="5">
        <v>33</v>
      </c>
      <c r="AK149" s="5" t="s">
        <v>35</v>
      </c>
    </row>
    <row r="150" spans="1:37" x14ac:dyDescent="0.3">
      <c r="A150" s="5">
        <v>153</v>
      </c>
      <c r="B150" s="5" t="s">
        <v>39</v>
      </c>
      <c r="C150" s="5">
        <v>35</v>
      </c>
      <c r="D150" s="2">
        <v>9</v>
      </c>
      <c r="E150" s="5">
        <v>173</v>
      </c>
      <c r="F150" s="5">
        <v>64</v>
      </c>
      <c r="G150" s="6">
        <v>21.383941996057334</v>
      </c>
      <c r="H150" s="9" t="s">
        <v>33</v>
      </c>
      <c r="I150" s="2">
        <v>32</v>
      </c>
      <c r="J150" s="5" t="s">
        <v>44</v>
      </c>
      <c r="K150" s="5" t="s">
        <v>44</v>
      </c>
      <c r="L150" s="5" t="s">
        <v>44</v>
      </c>
      <c r="M150" s="5" t="s">
        <v>44</v>
      </c>
      <c r="N150" s="5">
        <v>20.95</v>
      </c>
      <c r="O150" s="5">
        <v>57.2</v>
      </c>
      <c r="P150" s="5">
        <v>0.27</v>
      </c>
      <c r="Q150" s="5">
        <v>0.1</v>
      </c>
      <c r="R150" s="5">
        <v>0.17</v>
      </c>
      <c r="S150" s="8">
        <v>2.7303102625298332</v>
      </c>
      <c r="T150" s="5" t="s">
        <v>44</v>
      </c>
      <c r="Y150" s="5" t="s">
        <v>44</v>
      </c>
      <c r="AB150" s="9" t="s">
        <v>44</v>
      </c>
      <c r="AC150" s="2" t="s">
        <v>46</v>
      </c>
      <c r="AD150" s="2">
        <v>0</v>
      </c>
      <c r="AE150" s="2" t="s">
        <v>52</v>
      </c>
      <c r="AF150" s="2" t="s">
        <v>85</v>
      </c>
      <c r="AG150" s="5">
        <v>1</v>
      </c>
      <c r="AH150" s="5" t="s">
        <v>36</v>
      </c>
      <c r="AI150" s="5" t="s">
        <v>86</v>
      </c>
      <c r="AJ150" s="5">
        <v>10</v>
      </c>
      <c r="AK150" s="5" t="s">
        <v>34</v>
      </c>
    </row>
    <row r="151" spans="1:37" x14ac:dyDescent="0.3">
      <c r="A151" s="5">
        <v>154</v>
      </c>
      <c r="B151" s="5" t="s">
        <v>39</v>
      </c>
      <c r="C151" s="5">
        <v>46</v>
      </c>
      <c r="D151" s="2">
        <v>20</v>
      </c>
      <c r="E151" s="5">
        <v>179</v>
      </c>
      <c r="F151" s="5">
        <v>74</v>
      </c>
      <c r="G151" s="6">
        <v>23.095409007209511</v>
      </c>
      <c r="H151" s="9" t="s">
        <v>33</v>
      </c>
      <c r="I151" s="2">
        <v>32</v>
      </c>
      <c r="J151" s="5" t="s">
        <v>44</v>
      </c>
      <c r="K151" s="5" t="s">
        <v>45</v>
      </c>
      <c r="L151" s="5" t="s">
        <v>44</v>
      </c>
      <c r="M151" s="5" t="s">
        <v>44</v>
      </c>
      <c r="N151" s="5">
        <v>35.200000000000003</v>
      </c>
      <c r="O151" s="5">
        <v>39.200000000000003</v>
      </c>
      <c r="P151" s="5">
        <v>0.1</v>
      </c>
      <c r="Q151" s="5">
        <v>0.02</v>
      </c>
      <c r="R151" s="5">
        <v>0.08</v>
      </c>
      <c r="S151" s="8">
        <v>1.1136363636363635</v>
      </c>
      <c r="T151" s="5" t="s">
        <v>44</v>
      </c>
      <c r="Y151" s="5" t="s">
        <v>44</v>
      </c>
      <c r="AB151" s="9" t="s">
        <v>44</v>
      </c>
      <c r="AC151" s="2" t="s">
        <v>46</v>
      </c>
      <c r="AD151" s="2">
        <v>0</v>
      </c>
      <c r="AE151" s="2" t="s">
        <v>50</v>
      </c>
      <c r="AF151" s="2" t="s">
        <v>33</v>
      </c>
      <c r="AG151" s="5">
        <v>0</v>
      </c>
      <c r="AH151" s="5" t="s">
        <v>33</v>
      </c>
      <c r="AI151" s="5" t="s">
        <v>33</v>
      </c>
      <c r="AJ151" s="5">
        <v>22</v>
      </c>
      <c r="AK151" s="5" t="s">
        <v>35</v>
      </c>
    </row>
    <row r="152" spans="1:37" x14ac:dyDescent="0.3">
      <c r="A152" s="5">
        <v>155</v>
      </c>
      <c r="B152" s="5" t="s">
        <v>39</v>
      </c>
      <c r="C152" s="5">
        <v>31</v>
      </c>
      <c r="D152" s="2">
        <v>9</v>
      </c>
      <c r="E152" s="5">
        <v>178</v>
      </c>
      <c r="F152" s="5">
        <v>74</v>
      </c>
      <c r="G152" s="6">
        <v>23.355636914530994</v>
      </c>
      <c r="H152" s="9" t="s">
        <v>33</v>
      </c>
      <c r="I152" s="2">
        <v>36</v>
      </c>
      <c r="J152" s="5" t="s">
        <v>44</v>
      </c>
      <c r="K152" s="5" t="s">
        <v>44</v>
      </c>
      <c r="L152" s="5" t="s">
        <v>44</v>
      </c>
      <c r="M152" s="5" t="s">
        <v>44</v>
      </c>
      <c r="N152" s="5">
        <v>34.700000000000003</v>
      </c>
      <c r="O152" s="5">
        <v>39.1</v>
      </c>
      <c r="P152" s="5">
        <v>0.6</v>
      </c>
      <c r="Q152" s="5">
        <v>0.04</v>
      </c>
      <c r="R152" s="5">
        <v>0.56000000000000005</v>
      </c>
      <c r="S152" s="8">
        <v>1.1268011527377522</v>
      </c>
      <c r="T152" s="5" t="s">
        <v>44</v>
      </c>
      <c r="Y152" s="5" t="s">
        <v>44</v>
      </c>
      <c r="AB152" s="9" t="s">
        <v>44</v>
      </c>
      <c r="AC152" s="2" t="s">
        <v>46</v>
      </c>
      <c r="AD152" s="2">
        <v>0</v>
      </c>
      <c r="AE152" s="2" t="s">
        <v>52</v>
      </c>
      <c r="AF152" s="2" t="s">
        <v>33</v>
      </c>
      <c r="AG152" s="5">
        <v>0</v>
      </c>
      <c r="AH152" s="5" t="s">
        <v>33</v>
      </c>
      <c r="AI152" s="5" t="s">
        <v>33</v>
      </c>
      <c r="AJ152" s="5">
        <v>6</v>
      </c>
      <c r="AK152" s="5" t="s">
        <v>34</v>
      </c>
    </row>
    <row r="153" spans="1:37" x14ac:dyDescent="0.3">
      <c r="A153" s="5">
        <v>156</v>
      </c>
      <c r="B153" s="5" t="s">
        <v>39</v>
      </c>
      <c r="C153" s="5">
        <v>37</v>
      </c>
      <c r="D153" s="2">
        <v>10</v>
      </c>
      <c r="E153" s="5">
        <v>171</v>
      </c>
      <c r="F153" s="5">
        <v>70</v>
      </c>
      <c r="G153" s="6">
        <v>23.938989774631509</v>
      </c>
      <c r="H153" s="9" t="s">
        <v>33</v>
      </c>
      <c r="I153" s="2">
        <v>32</v>
      </c>
      <c r="J153" s="5" t="s">
        <v>44</v>
      </c>
      <c r="K153" s="5" t="s">
        <v>44</v>
      </c>
      <c r="L153" s="5" t="s">
        <v>44</v>
      </c>
      <c r="M153" s="5" t="s">
        <v>44</v>
      </c>
      <c r="N153" s="5">
        <v>26.82</v>
      </c>
      <c r="O153" s="5">
        <v>43.71</v>
      </c>
      <c r="P153" s="5">
        <v>0.36</v>
      </c>
      <c r="Q153" s="5">
        <v>0.09</v>
      </c>
      <c r="R153" s="5">
        <v>0.27</v>
      </c>
      <c r="S153" s="8">
        <v>1.6297539149888143</v>
      </c>
      <c r="T153" s="5" t="s">
        <v>44</v>
      </c>
      <c r="Y153" s="5" t="s">
        <v>44</v>
      </c>
      <c r="AB153" s="9" t="s">
        <v>44</v>
      </c>
      <c r="AC153" s="2" t="s">
        <v>47</v>
      </c>
      <c r="AD153" s="2">
        <v>0</v>
      </c>
      <c r="AE153" s="2" t="s">
        <v>49</v>
      </c>
      <c r="AF153" s="2" t="s">
        <v>85</v>
      </c>
      <c r="AG153" s="5">
        <v>1</v>
      </c>
      <c r="AH153" s="5" t="s">
        <v>88</v>
      </c>
      <c r="AI153" s="5" t="s">
        <v>88</v>
      </c>
      <c r="AJ153" s="5">
        <v>8</v>
      </c>
      <c r="AK153" s="5" t="s">
        <v>34</v>
      </c>
    </row>
    <row r="154" spans="1:37" x14ac:dyDescent="0.3">
      <c r="A154" s="5">
        <v>157</v>
      </c>
      <c r="B154" s="5" t="s">
        <v>39</v>
      </c>
      <c r="C154" s="5">
        <v>40</v>
      </c>
      <c r="D154" s="2">
        <v>18</v>
      </c>
      <c r="E154" s="5">
        <v>173</v>
      </c>
      <c r="F154" s="5">
        <v>74</v>
      </c>
      <c r="G154" s="6">
        <v>24.725182932941294</v>
      </c>
      <c r="H154" s="9" t="s">
        <v>33</v>
      </c>
      <c r="I154" s="2">
        <v>34</v>
      </c>
      <c r="J154" s="5" t="s">
        <v>44</v>
      </c>
      <c r="K154" s="5" t="s">
        <v>44</v>
      </c>
      <c r="L154" s="5" t="s">
        <v>44</v>
      </c>
      <c r="M154" s="5" t="s">
        <v>44</v>
      </c>
      <c r="N154" s="5">
        <v>23.97</v>
      </c>
      <c r="O154" s="5">
        <v>43.87</v>
      </c>
      <c r="P154" s="5">
        <v>0.3</v>
      </c>
      <c r="Q154" s="5">
        <v>0.04</v>
      </c>
      <c r="R154" s="5">
        <v>0.26</v>
      </c>
      <c r="S154" s="8">
        <v>1.8302044221944096</v>
      </c>
      <c r="T154" s="5" t="s">
        <v>44</v>
      </c>
      <c r="Y154" s="5" t="s">
        <v>44</v>
      </c>
      <c r="AB154" s="9" t="s">
        <v>44</v>
      </c>
      <c r="AC154" s="2" t="s">
        <v>47</v>
      </c>
      <c r="AD154" s="2">
        <v>0</v>
      </c>
      <c r="AE154" s="2" t="s">
        <v>49</v>
      </c>
      <c r="AF154" s="2" t="s">
        <v>85</v>
      </c>
      <c r="AG154" s="5">
        <v>1</v>
      </c>
      <c r="AH154" s="5" t="s">
        <v>88</v>
      </c>
      <c r="AI154" s="5" t="s">
        <v>88</v>
      </c>
      <c r="AJ154" s="5">
        <v>8</v>
      </c>
      <c r="AK154" s="5" t="s">
        <v>34</v>
      </c>
    </row>
    <row r="155" spans="1:37" x14ac:dyDescent="0.3">
      <c r="A155" s="5">
        <v>158</v>
      </c>
      <c r="B155" s="5" t="s">
        <v>39</v>
      </c>
      <c r="C155" s="5">
        <v>36</v>
      </c>
      <c r="D155" s="2">
        <v>10</v>
      </c>
      <c r="E155" s="5">
        <v>183</v>
      </c>
      <c r="F155" s="5">
        <v>98</v>
      </c>
      <c r="G155" s="6">
        <v>29.263340201260117</v>
      </c>
      <c r="H155" s="9" t="s">
        <v>42</v>
      </c>
      <c r="I155" s="2">
        <v>36</v>
      </c>
      <c r="J155" s="5" t="s">
        <v>44</v>
      </c>
      <c r="K155" s="5" t="s">
        <v>44</v>
      </c>
      <c r="L155" s="5" t="s">
        <v>44</v>
      </c>
      <c r="M155" s="5" t="s">
        <v>44</v>
      </c>
      <c r="N155" s="5">
        <v>39.6</v>
      </c>
      <c r="O155" s="5">
        <v>35.200000000000003</v>
      </c>
      <c r="P155" s="5">
        <v>0.47</v>
      </c>
      <c r="Q155" s="5">
        <v>7.0000000000000007E-2</v>
      </c>
      <c r="R155" s="5">
        <v>0.4</v>
      </c>
      <c r="S155" s="8">
        <v>0.88888888888888895</v>
      </c>
      <c r="T155" s="5" t="s">
        <v>44</v>
      </c>
      <c r="Y155" s="5" t="s">
        <v>44</v>
      </c>
      <c r="AB155" s="9" t="s">
        <v>44</v>
      </c>
      <c r="AC155" s="2" t="s">
        <v>46</v>
      </c>
      <c r="AD155" s="2">
        <v>0</v>
      </c>
      <c r="AE155" s="2" t="s">
        <v>52</v>
      </c>
      <c r="AF155" s="2" t="s">
        <v>33</v>
      </c>
      <c r="AG155" s="5">
        <v>0</v>
      </c>
      <c r="AH155" s="5" t="s">
        <v>33</v>
      </c>
      <c r="AI155" s="5" t="s">
        <v>33</v>
      </c>
      <c r="AJ155" s="5">
        <v>17</v>
      </c>
      <c r="AK155" s="5" t="s">
        <v>34</v>
      </c>
    </row>
    <row r="156" spans="1:37" x14ac:dyDescent="0.3">
      <c r="A156" s="5">
        <v>159</v>
      </c>
      <c r="B156" s="5" t="s">
        <v>39</v>
      </c>
      <c r="C156" s="5">
        <v>42</v>
      </c>
      <c r="D156" s="2">
        <v>17</v>
      </c>
      <c r="E156" s="5">
        <v>171</v>
      </c>
      <c r="F156" s="5">
        <v>70</v>
      </c>
      <c r="G156" s="6">
        <v>23.938989774631509</v>
      </c>
      <c r="H156" s="9" t="s">
        <v>33</v>
      </c>
      <c r="I156" s="2">
        <v>34</v>
      </c>
      <c r="J156" s="5" t="s">
        <v>44</v>
      </c>
      <c r="K156" s="5" t="s">
        <v>44</v>
      </c>
      <c r="L156" s="5" t="s">
        <v>44</v>
      </c>
      <c r="M156" s="5" t="s">
        <v>44</v>
      </c>
      <c r="N156" s="5">
        <v>27.7</v>
      </c>
      <c r="O156" s="5">
        <v>38.6</v>
      </c>
      <c r="P156" s="5">
        <v>0.33</v>
      </c>
      <c r="Q156" s="5">
        <v>0.1</v>
      </c>
      <c r="R156" s="5">
        <v>0.23</v>
      </c>
      <c r="S156" s="8">
        <v>1.3935018050541517</v>
      </c>
      <c r="T156" s="5" t="s">
        <v>44</v>
      </c>
      <c r="Y156" s="5" t="s">
        <v>44</v>
      </c>
      <c r="AB156" s="9" t="s">
        <v>44</v>
      </c>
      <c r="AC156" s="2" t="s">
        <v>46</v>
      </c>
      <c r="AD156" s="2">
        <v>0</v>
      </c>
      <c r="AE156" s="2" t="s">
        <v>50</v>
      </c>
      <c r="AF156" s="2" t="s">
        <v>33</v>
      </c>
      <c r="AG156" s="5">
        <v>0</v>
      </c>
      <c r="AH156" s="5" t="s">
        <v>33</v>
      </c>
      <c r="AI156" s="5" t="s">
        <v>33</v>
      </c>
      <c r="AJ156" s="5">
        <v>12</v>
      </c>
      <c r="AK156" s="5" t="s">
        <v>34</v>
      </c>
    </row>
    <row r="157" spans="1:37" x14ac:dyDescent="0.3">
      <c r="A157" s="5">
        <v>160</v>
      </c>
      <c r="B157" s="5" t="s">
        <v>39</v>
      </c>
      <c r="C157" s="5">
        <v>37</v>
      </c>
      <c r="D157" s="2">
        <v>14</v>
      </c>
      <c r="E157" s="5">
        <v>170</v>
      </c>
      <c r="F157" s="5">
        <v>55</v>
      </c>
      <c r="G157" s="6">
        <v>19.031141868512112</v>
      </c>
      <c r="H157" s="9" t="s">
        <v>33</v>
      </c>
      <c r="I157" s="2">
        <v>30</v>
      </c>
      <c r="J157" s="5" t="s">
        <v>44</v>
      </c>
      <c r="K157" s="5" t="s">
        <v>44</v>
      </c>
      <c r="L157" s="5" t="s">
        <v>44</v>
      </c>
      <c r="M157" s="5" t="s">
        <v>45</v>
      </c>
      <c r="N157" s="5">
        <v>31.7</v>
      </c>
      <c r="O157" s="5">
        <v>39.6</v>
      </c>
      <c r="P157" s="5">
        <v>0.66</v>
      </c>
      <c r="Q157" s="5">
        <v>0.06</v>
      </c>
      <c r="R157" s="5">
        <v>0.6</v>
      </c>
      <c r="S157" s="8">
        <v>1.249211356466877</v>
      </c>
      <c r="T157" s="5" t="s">
        <v>44</v>
      </c>
      <c r="Y157" s="5" t="s">
        <v>44</v>
      </c>
      <c r="AB157" s="9" t="s">
        <v>44</v>
      </c>
      <c r="AC157" s="2" t="s">
        <v>47</v>
      </c>
      <c r="AD157" s="2">
        <v>0</v>
      </c>
      <c r="AE157" s="2" t="s">
        <v>49</v>
      </c>
      <c r="AF157" s="2" t="s">
        <v>33</v>
      </c>
      <c r="AG157" s="5">
        <v>0</v>
      </c>
      <c r="AH157" s="5" t="s">
        <v>33</v>
      </c>
      <c r="AI157" s="5" t="s">
        <v>33</v>
      </c>
      <c r="AJ157" s="5">
        <v>6</v>
      </c>
      <c r="AK157" s="5" t="s">
        <v>34</v>
      </c>
    </row>
    <row r="158" spans="1:37" x14ac:dyDescent="0.3">
      <c r="A158" s="5">
        <v>161</v>
      </c>
      <c r="B158" s="5" t="s">
        <v>39</v>
      </c>
      <c r="C158" s="5">
        <v>40</v>
      </c>
      <c r="D158" s="2">
        <v>16</v>
      </c>
      <c r="E158" s="5">
        <v>170</v>
      </c>
      <c r="F158" s="5">
        <v>73</v>
      </c>
      <c r="G158" s="6">
        <v>25.259515570934255</v>
      </c>
      <c r="H158" s="9" t="s">
        <v>42</v>
      </c>
      <c r="I158" s="2">
        <v>32</v>
      </c>
      <c r="J158" s="5" t="s">
        <v>44</v>
      </c>
      <c r="K158" s="5" t="s">
        <v>44</v>
      </c>
      <c r="L158" s="5" t="s">
        <v>44</v>
      </c>
      <c r="M158" s="5" t="s">
        <v>44</v>
      </c>
      <c r="N158" s="5">
        <v>25.83</v>
      </c>
      <c r="O158" s="5">
        <v>43.52</v>
      </c>
      <c r="P158" s="5">
        <v>0.18</v>
      </c>
      <c r="Q158" s="5">
        <v>7.0000000000000007E-2</v>
      </c>
      <c r="R158" s="5">
        <v>0.11</v>
      </c>
      <c r="S158" s="8">
        <v>1.6848625629113436</v>
      </c>
      <c r="T158" s="5" t="s">
        <v>44</v>
      </c>
      <c r="Y158" s="5" t="s">
        <v>44</v>
      </c>
      <c r="AB158" s="9" t="s">
        <v>44</v>
      </c>
      <c r="AC158" s="2" t="s">
        <v>46</v>
      </c>
      <c r="AD158" s="2">
        <v>0</v>
      </c>
      <c r="AE158" s="2" t="s">
        <v>52</v>
      </c>
      <c r="AF158" s="2" t="s">
        <v>85</v>
      </c>
      <c r="AG158" s="5">
        <v>1</v>
      </c>
      <c r="AH158" s="5" t="s">
        <v>37</v>
      </c>
      <c r="AI158" s="5" t="s">
        <v>37</v>
      </c>
      <c r="AJ158" s="5">
        <v>15</v>
      </c>
      <c r="AK158" s="5" t="s">
        <v>34</v>
      </c>
    </row>
    <row r="159" spans="1:37" x14ac:dyDescent="0.3">
      <c r="A159" s="5">
        <v>163</v>
      </c>
      <c r="B159" s="5" t="s">
        <v>39</v>
      </c>
      <c r="C159" s="5">
        <v>40</v>
      </c>
      <c r="D159" s="2">
        <v>17</v>
      </c>
      <c r="E159" s="5">
        <v>168</v>
      </c>
      <c r="F159" s="5">
        <v>71</v>
      </c>
      <c r="G159" s="6">
        <v>25.155895691609977</v>
      </c>
      <c r="H159" s="9" t="s">
        <v>42</v>
      </c>
      <c r="I159" s="2">
        <v>32</v>
      </c>
      <c r="J159" s="5" t="s">
        <v>44</v>
      </c>
      <c r="K159" s="5" t="s">
        <v>44</v>
      </c>
      <c r="L159" s="5" t="s">
        <v>44</v>
      </c>
      <c r="M159" s="5" t="s">
        <v>44</v>
      </c>
      <c r="N159" s="5">
        <v>51.35</v>
      </c>
      <c r="O159" s="5">
        <v>41.01</v>
      </c>
      <c r="P159" s="5">
        <v>0.54</v>
      </c>
      <c r="Q159" s="5">
        <v>0.09</v>
      </c>
      <c r="R159" s="5">
        <v>0.45</v>
      </c>
      <c r="S159" s="8">
        <v>0.79863680623174294</v>
      </c>
      <c r="T159" s="5" t="s">
        <v>44</v>
      </c>
      <c r="Y159" s="5" t="s">
        <v>44</v>
      </c>
      <c r="AB159" s="9" t="s">
        <v>44</v>
      </c>
      <c r="AC159" s="2" t="s">
        <v>47</v>
      </c>
      <c r="AD159" s="2">
        <v>0</v>
      </c>
      <c r="AE159" s="2" t="s">
        <v>49</v>
      </c>
      <c r="AF159" s="2" t="s">
        <v>85</v>
      </c>
      <c r="AG159" s="5">
        <v>1</v>
      </c>
      <c r="AH159" s="5" t="s">
        <v>37</v>
      </c>
      <c r="AI159" s="5" t="s">
        <v>37</v>
      </c>
      <c r="AJ159" s="5">
        <v>16</v>
      </c>
      <c r="AK159" s="5" t="s">
        <v>34</v>
      </c>
    </row>
    <row r="160" spans="1:37" x14ac:dyDescent="0.3">
      <c r="A160" s="5">
        <v>165</v>
      </c>
      <c r="B160" s="5" t="s">
        <v>39</v>
      </c>
      <c r="C160" s="5">
        <v>40</v>
      </c>
      <c r="D160" s="2">
        <v>17</v>
      </c>
      <c r="E160" s="5">
        <v>173</v>
      </c>
      <c r="F160" s="5">
        <v>66</v>
      </c>
      <c r="G160" s="6">
        <v>22.052190183434128</v>
      </c>
      <c r="H160" s="9" t="s">
        <v>33</v>
      </c>
      <c r="I160" s="2">
        <v>36</v>
      </c>
      <c r="J160" s="5" t="s">
        <v>44</v>
      </c>
      <c r="K160" s="5" t="s">
        <v>44</v>
      </c>
      <c r="L160" s="5" t="s">
        <v>44</v>
      </c>
      <c r="M160" s="5" t="s">
        <v>44</v>
      </c>
      <c r="N160" s="5">
        <v>63.5</v>
      </c>
      <c r="O160" s="5">
        <v>35.200000000000003</v>
      </c>
      <c r="P160" s="5">
        <v>0.91</v>
      </c>
      <c r="Q160" s="5">
        <v>0.22</v>
      </c>
      <c r="R160" s="5">
        <v>0.69</v>
      </c>
      <c r="S160" s="8">
        <v>0.55433070866141732</v>
      </c>
      <c r="T160" s="5" t="s">
        <v>44</v>
      </c>
      <c r="Y160" s="5" t="s">
        <v>45</v>
      </c>
      <c r="AA160" s="5" t="s">
        <v>81</v>
      </c>
      <c r="AB160" s="9" t="s">
        <v>44</v>
      </c>
      <c r="AC160" s="2" t="s">
        <v>46</v>
      </c>
      <c r="AD160" s="2">
        <v>0</v>
      </c>
      <c r="AE160" s="2" t="s">
        <v>49</v>
      </c>
      <c r="AF160" s="2" t="s">
        <v>85</v>
      </c>
      <c r="AG160" s="5">
        <v>1</v>
      </c>
      <c r="AH160" s="5" t="s">
        <v>37</v>
      </c>
      <c r="AI160" s="5" t="s">
        <v>37</v>
      </c>
      <c r="AJ160" s="5">
        <v>17</v>
      </c>
      <c r="AK160" s="5" t="s">
        <v>34</v>
      </c>
    </row>
    <row r="161" spans="1:37" ht="72" x14ac:dyDescent="0.3">
      <c r="A161" s="5">
        <v>166</v>
      </c>
      <c r="B161" s="5" t="s">
        <v>39</v>
      </c>
      <c r="C161" s="5">
        <v>40</v>
      </c>
      <c r="D161" s="2">
        <v>18</v>
      </c>
      <c r="E161" s="5">
        <v>170</v>
      </c>
      <c r="F161" s="5">
        <v>73</v>
      </c>
      <c r="G161" s="6">
        <v>25.259515570934255</v>
      </c>
      <c r="H161" s="9" t="s">
        <v>42</v>
      </c>
      <c r="I161" s="2">
        <v>32</v>
      </c>
      <c r="J161" s="5" t="s">
        <v>44</v>
      </c>
      <c r="K161" s="5" t="s">
        <v>44</v>
      </c>
      <c r="L161" s="5" t="s">
        <v>44</v>
      </c>
      <c r="M161" s="5" t="s">
        <v>44</v>
      </c>
      <c r="N161" s="5">
        <v>18.100000000000001</v>
      </c>
      <c r="O161" s="5">
        <v>25.45</v>
      </c>
      <c r="P161" s="5">
        <v>0.41</v>
      </c>
      <c r="Q161" s="5">
        <v>0.08</v>
      </c>
      <c r="R161" s="5">
        <v>0.33</v>
      </c>
      <c r="S161" s="8">
        <v>1.4060773480662982</v>
      </c>
      <c r="T161" s="5" t="s">
        <v>45</v>
      </c>
      <c r="U161" s="5" t="s">
        <v>57</v>
      </c>
      <c r="V161" s="5" t="s">
        <v>60</v>
      </c>
      <c r="W161" s="5" t="s">
        <v>65</v>
      </c>
      <c r="X161" s="5" t="s">
        <v>69</v>
      </c>
      <c r="Y161" s="5" t="s">
        <v>44</v>
      </c>
      <c r="AB161" s="9" t="s">
        <v>44</v>
      </c>
      <c r="AC161" s="2" t="s">
        <v>46</v>
      </c>
      <c r="AD161" s="2">
        <v>0</v>
      </c>
      <c r="AE161" s="2" t="s">
        <v>52</v>
      </c>
      <c r="AF161" s="2" t="s">
        <v>33</v>
      </c>
      <c r="AG161" s="5">
        <v>0</v>
      </c>
      <c r="AH161" s="5" t="s">
        <v>33</v>
      </c>
      <c r="AI161" s="5" t="s">
        <v>33</v>
      </c>
      <c r="AJ161" s="5">
        <v>24</v>
      </c>
      <c r="AK161" s="5" t="s">
        <v>35</v>
      </c>
    </row>
    <row r="162" spans="1:37" x14ac:dyDescent="0.3">
      <c r="A162" s="5">
        <v>167</v>
      </c>
      <c r="B162" s="5" t="s">
        <v>39</v>
      </c>
      <c r="C162" s="5">
        <v>39</v>
      </c>
      <c r="D162" s="2">
        <v>23</v>
      </c>
      <c r="E162" s="5">
        <v>160</v>
      </c>
      <c r="F162" s="5">
        <v>72</v>
      </c>
      <c r="G162" s="6">
        <v>28.125</v>
      </c>
      <c r="H162" s="9" t="s">
        <v>42</v>
      </c>
      <c r="I162" s="2">
        <v>36</v>
      </c>
      <c r="J162" s="5" t="s">
        <v>44</v>
      </c>
      <c r="K162" s="5" t="s">
        <v>44</v>
      </c>
      <c r="L162" s="5" t="s">
        <v>44</v>
      </c>
      <c r="M162" s="5" t="s">
        <v>45</v>
      </c>
      <c r="N162" s="5">
        <v>20</v>
      </c>
      <c r="O162" s="5">
        <v>36.200000000000003</v>
      </c>
      <c r="P162" s="5">
        <v>0.66</v>
      </c>
      <c r="Q162" s="5">
        <v>0.22</v>
      </c>
      <c r="R162" s="5">
        <v>0.44</v>
      </c>
      <c r="S162" s="8">
        <v>1.81</v>
      </c>
      <c r="T162" s="5" t="s">
        <v>44</v>
      </c>
      <c r="Y162" s="5" t="s">
        <v>44</v>
      </c>
      <c r="AB162" s="9" t="s">
        <v>44</v>
      </c>
      <c r="AC162" s="2" t="s">
        <v>46</v>
      </c>
      <c r="AD162" s="2">
        <v>0</v>
      </c>
      <c r="AE162" s="2" t="s">
        <v>48</v>
      </c>
      <c r="AF162" s="2" t="s">
        <v>33</v>
      </c>
      <c r="AG162" s="5">
        <v>0</v>
      </c>
      <c r="AH162" s="5" t="s">
        <v>33</v>
      </c>
      <c r="AI162" s="5" t="s">
        <v>33</v>
      </c>
      <c r="AJ162" s="5">
        <v>15</v>
      </c>
      <c r="AK162" s="5" t="s">
        <v>34</v>
      </c>
    </row>
    <row r="163" spans="1:37" x14ac:dyDescent="0.3">
      <c r="A163" s="5">
        <v>168</v>
      </c>
      <c r="B163" s="5" t="s">
        <v>39</v>
      </c>
      <c r="C163" s="5">
        <v>36</v>
      </c>
      <c r="D163" s="2">
        <v>8</v>
      </c>
      <c r="E163" s="5">
        <v>163</v>
      </c>
      <c r="F163" s="5">
        <v>64</v>
      </c>
      <c r="G163" s="6">
        <v>24.088223117166621</v>
      </c>
      <c r="H163" s="9" t="s">
        <v>33</v>
      </c>
      <c r="I163" s="2">
        <v>32</v>
      </c>
      <c r="J163" s="5" t="s">
        <v>44</v>
      </c>
      <c r="K163" s="5" t="s">
        <v>44</v>
      </c>
      <c r="L163" s="5" t="s">
        <v>44</v>
      </c>
      <c r="M163" s="5" t="s">
        <v>45</v>
      </c>
      <c r="N163" s="5">
        <v>40.6</v>
      </c>
      <c r="O163" s="5">
        <v>36.200000000000003</v>
      </c>
      <c r="P163" s="5">
        <v>0.35</v>
      </c>
      <c r="Q163" s="5">
        <v>0.09</v>
      </c>
      <c r="R163" s="5">
        <v>0.26</v>
      </c>
      <c r="S163" s="8">
        <v>0.89162561576354682</v>
      </c>
      <c r="T163" s="5" t="s">
        <v>44</v>
      </c>
      <c r="Y163" s="5" t="s">
        <v>44</v>
      </c>
      <c r="AB163" s="9" t="s">
        <v>44</v>
      </c>
      <c r="AC163" s="2" t="s">
        <v>46</v>
      </c>
      <c r="AD163" s="2">
        <v>0</v>
      </c>
      <c r="AE163" s="2" t="s">
        <v>52</v>
      </c>
      <c r="AF163" s="2" t="s">
        <v>33</v>
      </c>
      <c r="AG163" s="5">
        <v>0</v>
      </c>
      <c r="AH163" s="5" t="s">
        <v>33</v>
      </c>
      <c r="AI163" s="5" t="s">
        <v>33</v>
      </c>
      <c r="AJ163" s="5">
        <v>11</v>
      </c>
      <c r="AK163" s="5" t="s">
        <v>34</v>
      </c>
    </row>
    <row r="164" spans="1:37" x14ac:dyDescent="0.3">
      <c r="A164" s="5">
        <v>169</v>
      </c>
      <c r="B164" s="5" t="s">
        <v>39</v>
      </c>
      <c r="C164" s="5">
        <v>30</v>
      </c>
      <c r="D164" s="2">
        <v>4</v>
      </c>
      <c r="E164" s="5">
        <v>170</v>
      </c>
      <c r="F164" s="5">
        <v>62</v>
      </c>
      <c r="G164" s="6">
        <v>21.453287197231834</v>
      </c>
      <c r="H164" s="9" t="s">
        <v>33</v>
      </c>
      <c r="I164" s="2">
        <v>32</v>
      </c>
      <c r="J164" s="5" t="s">
        <v>44</v>
      </c>
      <c r="K164" s="5" t="s">
        <v>44</v>
      </c>
      <c r="L164" s="5" t="s">
        <v>44</v>
      </c>
      <c r="M164" s="5" t="s">
        <v>44</v>
      </c>
      <c r="N164" s="5">
        <v>22.4</v>
      </c>
      <c r="O164" s="5">
        <v>36</v>
      </c>
      <c r="P164" s="5">
        <v>1.22</v>
      </c>
      <c r="Q164" s="5">
        <v>0.32</v>
      </c>
      <c r="R164" s="5">
        <v>0.9</v>
      </c>
      <c r="S164" s="8">
        <v>1.6071428571428572</v>
      </c>
      <c r="T164" s="5" t="s">
        <v>44</v>
      </c>
      <c r="Y164" s="5" t="s">
        <v>44</v>
      </c>
      <c r="AB164" s="9" t="s">
        <v>44</v>
      </c>
      <c r="AC164" s="2" t="s">
        <v>47</v>
      </c>
      <c r="AD164" s="2">
        <v>0</v>
      </c>
      <c r="AE164" s="2" t="s">
        <v>48</v>
      </c>
      <c r="AF164" s="2" t="s">
        <v>85</v>
      </c>
      <c r="AG164" s="5">
        <v>1</v>
      </c>
      <c r="AH164" s="5" t="s">
        <v>87</v>
      </c>
      <c r="AI164" s="5" t="s">
        <v>87</v>
      </c>
      <c r="AJ164" s="5">
        <v>5</v>
      </c>
      <c r="AK164" s="5" t="s">
        <v>34</v>
      </c>
    </row>
    <row r="165" spans="1:37" ht="28.8" x14ac:dyDescent="0.3">
      <c r="A165" s="5">
        <v>170</v>
      </c>
      <c r="B165" s="5" t="s">
        <v>39</v>
      </c>
      <c r="C165" s="5">
        <v>27</v>
      </c>
      <c r="D165" s="2">
        <v>4</v>
      </c>
      <c r="E165" s="5">
        <v>165</v>
      </c>
      <c r="F165" s="5">
        <v>61</v>
      </c>
      <c r="G165" s="6">
        <v>22.4058769513315</v>
      </c>
      <c r="H165" s="9" t="s">
        <v>33</v>
      </c>
      <c r="I165" s="2">
        <v>30</v>
      </c>
      <c r="J165" s="5" t="s">
        <v>44</v>
      </c>
      <c r="K165" s="5" t="s">
        <v>44</v>
      </c>
      <c r="L165" s="5" t="s">
        <v>44</v>
      </c>
      <c r="M165" s="5" t="s">
        <v>44</v>
      </c>
      <c r="N165" s="5">
        <v>36</v>
      </c>
      <c r="O165" s="5">
        <v>35.6</v>
      </c>
      <c r="P165" s="5">
        <v>1.01</v>
      </c>
      <c r="Q165" s="5">
        <v>0.1</v>
      </c>
      <c r="R165" s="5">
        <v>0.91</v>
      </c>
      <c r="S165" s="8">
        <v>0.98888888888888893</v>
      </c>
      <c r="T165" s="5" t="s">
        <v>45</v>
      </c>
      <c r="U165" s="5" t="s">
        <v>56</v>
      </c>
      <c r="V165" s="5" t="s">
        <v>61</v>
      </c>
      <c r="W165" s="5" t="s">
        <v>65</v>
      </c>
      <c r="X165" s="5" t="s">
        <v>67</v>
      </c>
      <c r="Y165" s="5" t="s">
        <v>44</v>
      </c>
      <c r="AB165" s="9" t="s">
        <v>44</v>
      </c>
      <c r="AC165" s="2" t="s">
        <v>46</v>
      </c>
      <c r="AD165" s="2">
        <v>0</v>
      </c>
      <c r="AE165" s="2" t="s">
        <v>52</v>
      </c>
      <c r="AF165" s="2" t="s">
        <v>33</v>
      </c>
      <c r="AG165" s="5">
        <v>0</v>
      </c>
      <c r="AH165" s="5" t="s">
        <v>33</v>
      </c>
      <c r="AI165" s="5" t="s">
        <v>33</v>
      </c>
      <c r="AJ165" s="5">
        <v>14</v>
      </c>
      <c r="AK165" s="5" t="s">
        <v>34</v>
      </c>
    </row>
    <row r="166" spans="1:37" x14ac:dyDescent="0.3">
      <c r="A166" s="5">
        <v>171</v>
      </c>
      <c r="B166" s="5" t="s">
        <v>39</v>
      </c>
      <c r="C166" s="5">
        <v>41</v>
      </c>
      <c r="D166" s="2">
        <v>20</v>
      </c>
      <c r="E166" s="5">
        <v>185</v>
      </c>
      <c r="F166" s="5">
        <v>96</v>
      </c>
      <c r="G166" s="6">
        <v>28.049671292914535</v>
      </c>
      <c r="H166" s="9" t="s">
        <v>42</v>
      </c>
      <c r="I166" s="2">
        <v>38</v>
      </c>
      <c r="J166" s="5" t="s">
        <v>44</v>
      </c>
      <c r="K166" s="5" t="s">
        <v>44</v>
      </c>
      <c r="L166" s="5" t="s">
        <v>44</v>
      </c>
      <c r="M166" s="5" t="s">
        <v>45</v>
      </c>
      <c r="N166" s="5">
        <v>36</v>
      </c>
      <c r="O166" s="5">
        <v>40.04</v>
      </c>
      <c r="P166" s="5">
        <v>0.42</v>
      </c>
      <c r="Q166" s="5">
        <v>0.1</v>
      </c>
      <c r="R166" s="5">
        <v>0.32</v>
      </c>
      <c r="S166" s="8">
        <v>1.1122222222222222</v>
      </c>
      <c r="T166" s="5" t="s">
        <v>44</v>
      </c>
      <c r="Y166" s="5" t="s">
        <v>44</v>
      </c>
      <c r="AB166" s="9" t="s">
        <v>44</v>
      </c>
      <c r="AC166" s="2" t="s">
        <v>46</v>
      </c>
      <c r="AD166" s="2">
        <v>0</v>
      </c>
      <c r="AE166" s="2" t="s">
        <v>52</v>
      </c>
      <c r="AF166" s="2" t="s">
        <v>85</v>
      </c>
      <c r="AG166" s="5">
        <v>1</v>
      </c>
      <c r="AH166" s="5" t="s">
        <v>37</v>
      </c>
      <c r="AI166" s="5" t="s">
        <v>37</v>
      </c>
      <c r="AJ166" s="5">
        <v>21</v>
      </c>
      <c r="AK166" s="5" t="s">
        <v>35</v>
      </c>
    </row>
    <row r="167" spans="1:37" ht="28.8" x14ac:dyDescent="0.3">
      <c r="A167" s="5">
        <v>172</v>
      </c>
      <c r="B167" s="5" t="s">
        <v>39</v>
      </c>
      <c r="C167" s="5">
        <v>35</v>
      </c>
      <c r="D167" s="2">
        <v>14</v>
      </c>
      <c r="E167" s="5">
        <v>165</v>
      </c>
      <c r="F167" s="5">
        <v>65</v>
      </c>
      <c r="G167" s="6">
        <v>23.875114784205692</v>
      </c>
      <c r="H167" s="9" t="s">
        <v>33</v>
      </c>
      <c r="I167" s="2">
        <v>32</v>
      </c>
      <c r="J167" s="5" t="s">
        <v>44</v>
      </c>
      <c r="K167" s="5" t="s">
        <v>44</v>
      </c>
      <c r="L167" s="5" t="s">
        <v>44</v>
      </c>
      <c r="M167" s="5" t="s">
        <v>44</v>
      </c>
      <c r="N167" s="5">
        <v>31.91</v>
      </c>
      <c r="O167" s="5">
        <v>37.47</v>
      </c>
      <c r="P167" s="5">
        <v>0.7</v>
      </c>
      <c r="Q167" s="5">
        <v>0.14000000000000001</v>
      </c>
      <c r="R167" s="5">
        <v>0.56000000000000005</v>
      </c>
      <c r="S167" s="8">
        <v>1.1742400501410215</v>
      </c>
      <c r="T167" s="5" t="s">
        <v>45</v>
      </c>
      <c r="U167" s="5" t="s">
        <v>56</v>
      </c>
      <c r="V167" s="5" t="s">
        <v>60</v>
      </c>
      <c r="W167" s="5" t="s">
        <v>65</v>
      </c>
      <c r="X167" s="5" t="s">
        <v>67</v>
      </c>
      <c r="Y167" s="5" t="s">
        <v>44</v>
      </c>
      <c r="AB167" s="9" t="s">
        <v>44</v>
      </c>
      <c r="AC167" s="2" t="s">
        <v>46</v>
      </c>
      <c r="AD167" s="2">
        <v>0</v>
      </c>
      <c r="AE167" s="2" t="s">
        <v>49</v>
      </c>
      <c r="AF167" s="2" t="s">
        <v>33</v>
      </c>
      <c r="AG167" s="5">
        <v>0</v>
      </c>
      <c r="AH167" s="5" t="s">
        <v>33</v>
      </c>
      <c r="AI167" s="5" t="s">
        <v>33</v>
      </c>
      <c r="AJ167" s="5">
        <v>16</v>
      </c>
      <c r="AK167" s="5" t="s">
        <v>34</v>
      </c>
    </row>
    <row r="168" spans="1:37" x14ac:dyDescent="0.3">
      <c r="A168" s="5">
        <v>173</v>
      </c>
      <c r="B168" s="5" t="s">
        <v>39</v>
      </c>
      <c r="C168" s="5">
        <v>30</v>
      </c>
      <c r="D168" s="2">
        <v>8</v>
      </c>
      <c r="E168" s="5">
        <v>183</v>
      </c>
      <c r="F168" s="5">
        <v>98</v>
      </c>
      <c r="G168" s="6">
        <v>29.263340201260117</v>
      </c>
      <c r="H168" s="9" t="s">
        <v>42</v>
      </c>
      <c r="I168" s="2">
        <v>38</v>
      </c>
      <c r="J168" s="5" t="s">
        <v>44</v>
      </c>
      <c r="K168" s="5" t="s">
        <v>44</v>
      </c>
      <c r="L168" s="5" t="s">
        <v>44</v>
      </c>
      <c r="M168" s="5" t="s">
        <v>44</v>
      </c>
      <c r="N168" s="5">
        <v>17.79</v>
      </c>
      <c r="O168" s="5">
        <v>38.07</v>
      </c>
      <c r="P168" s="5">
        <v>0.77</v>
      </c>
      <c r="Q168" s="5">
        <v>0.11</v>
      </c>
      <c r="R168" s="5">
        <v>0.66</v>
      </c>
      <c r="S168" s="8">
        <v>2.1399662731871838</v>
      </c>
      <c r="T168" s="5" t="s">
        <v>44</v>
      </c>
      <c r="Y168" s="5" t="s">
        <v>44</v>
      </c>
      <c r="AB168" s="9" t="s">
        <v>44</v>
      </c>
      <c r="AC168" s="2" t="s">
        <v>46</v>
      </c>
      <c r="AD168" s="2">
        <v>0</v>
      </c>
      <c r="AE168" s="2" t="s">
        <v>52</v>
      </c>
      <c r="AF168" s="2" t="s">
        <v>33</v>
      </c>
      <c r="AG168" s="5">
        <v>0</v>
      </c>
      <c r="AH168" s="5" t="s">
        <v>33</v>
      </c>
      <c r="AI168" s="5" t="s">
        <v>33</v>
      </c>
      <c r="AJ168" s="5">
        <v>16</v>
      </c>
      <c r="AK168" s="5" t="s">
        <v>34</v>
      </c>
    </row>
    <row r="169" spans="1:37" x14ac:dyDescent="0.3">
      <c r="A169" s="5">
        <v>174</v>
      </c>
      <c r="B169" s="5" t="s">
        <v>39</v>
      </c>
      <c r="C169" s="5">
        <v>30</v>
      </c>
      <c r="D169" s="2">
        <v>8</v>
      </c>
      <c r="E169" s="5">
        <v>180</v>
      </c>
      <c r="F169" s="5">
        <v>55</v>
      </c>
      <c r="G169" s="6">
        <v>16.97530864197531</v>
      </c>
      <c r="H169" s="9" t="s">
        <v>43</v>
      </c>
      <c r="I169" s="2">
        <v>30</v>
      </c>
      <c r="J169" s="5" t="s">
        <v>44</v>
      </c>
      <c r="K169" s="5" t="s">
        <v>44</v>
      </c>
      <c r="L169" s="5" t="s">
        <v>44</v>
      </c>
      <c r="M169" s="5" t="s">
        <v>44</v>
      </c>
      <c r="N169" s="5">
        <v>13.24</v>
      </c>
      <c r="O169" s="5">
        <v>29.55</v>
      </c>
      <c r="P169" s="5">
        <v>0.62</v>
      </c>
      <c r="Q169" s="5">
        <v>0.11</v>
      </c>
      <c r="R169" s="5">
        <v>0.51</v>
      </c>
      <c r="S169" s="8">
        <v>2.2318731117824773</v>
      </c>
      <c r="T169" s="5" t="s">
        <v>44</v>
      </c>
      <c r="Y169" s="5" t="s">
        <v>44</v>
      </c>
      <c r="AB169" s="9" t="s">
        <v>44</v>
      </c>
      <c r="AC169" s="2" t="s">
        <v>47</v>
      </c>
      <c r="AD169" s="2">
        <v>0</v>
      </c>
      <c r="AE169" s="2" t="s">
        <v>52</v>
      </c>
      <c r="AF169" s="2" t="s">
        <v>33</v>
      </c>
      <c r="AG169" s="5">
        <v>0</v>
      </c>
      <c r="AH169" s="5" t="s">
        <v>33</v>
      </c>
      <c r="AI169" s="5" t="s">
        <v>33</v>
      </c>
      <c r="AJ169" s="5">
        <v>4</v>
      </c>
      <c r="AK169" s="5" t="s">
        <v>34</v>
      </c>
    </row>
    <row r="170" spans="1:37" x14ac:dyDescent="0.3">
      <c r="A170" s="5">
        <v>175</v>
      </c>
      <c r="B170" s="5" t="s">
        <v>39</v>
      </c>
      <c r="C170" s="5">
        <v>30</v>
      </c>
      <c r="D170" s="2">
        <v>13</v>
      </c>
      <c r="E170" s="5">
        <v>175</v>
      </c>
      <c r="F170" s="5">
        <v>78</v>
      </c>
      <c r="G170" s="6">
        <v>25.469387755102041</v>
      </c>
      <c r="H170" s="9" t="s">
        <v>42</v>
      </c>
      <c r="I170" s="2">
        <v>34</v>
      </c>
      <c r="J170" s="5" t="s">
        <v>44</v>
      </c>
      <c r="K170" s="5" t="s">
        <v>44</v>
      </c>
      <c r="L170" s="5" t="s">
        <v>44</v>
      </c>
      <c r="M170" s="5" t="s">
        <v>44</v>
      </c>
      <c r="N170" s="5">
        <v>29.6</v>
      </c>
      <c r="O170" s="5">
        <v>35.200000000000003</v>
      </c>
      <c r="P170" s="5">
        <v>0.62</v>
      </c>
      <c r="Q170" s="5">
        <v>0.16</v>
      </c>
      <c r="R170" s="5">
        <v>0.46</v>
      </c>
      <c r="S170" s="8">
        <v>1.1891891891891893</v>
      </c>
      <c r="T170" s="5" t="s">
        <v>44</v>
      </c>
      <c r="Y170" s="5" t="s">
        <v>44</v>
      </c>
      <c r="AB170" s="9" t="s">
        <v>44</v>
      </c>
      <c r="AC170" s="2" t="s">
        <v>46</v>
      </c>
      <c r="AD170" s="2">
        <v>0</v>
      </c>
      <c r="AE170" s="2" t="s">
        <v>48</v>
      </c>
      <c r="AF170" s="2" t="s">
        <v>33</v>
      </c>
      <c r="AG170" s="5">
        <v>0</v>
      </c>
      <c r="AH170" s="5" t="s">
        <v>33</v>
      </c>
      <c r="AI170" s="5" t="s">
        <v>33</v>
      </c>
      <c r="AJ170" s="5">
        <v>8</v>
      </c>
      <c r="AK170" s="5" t="s">
        <v>34</v>
      </c>
    </row>
    <row r="171" spans="1:37" x14ac:dyDescent="0.3">
      <c r="A171" s="5">
        <v>176</v>
      </c>
      <c r="B171" s="5" t="s">
        <v>39</v>
      </c>
      <c r="C171" s="5">
        <v>29</v>
      </c>
      <c r="D171" s="2">
        <v>6</v>
      </c>
      <c r="E171" s="5">
        <v>165</v>
      </c>
      <c r="F171" s="5">
        <v>68</v>
      </c>
      <c r="G171" s="6">
        <v>24.977043158861338</v>
      </c>
      <c r="H171" s="9" t="s">
        <v>42</v>
      </c>
      <c r="I171" s="2">
        <v>32</v>
      </c>
      <c r="J171" s="5" t="s">
        <v>44</v>
      </c>
      <c r="K171" s="5" t="s">
        <v>44</v>
      </c>
      <c r="L171" s="5" t="s">
        <v>44</v>
      </c>
      <c r="M171" s="5" t="s">
        <v>44</v>
      </c>
      <c r="N171" s="5">
        <v>47.7</v>
      </c>
      <c r="O171" s="5">
        <v>38.200000000000003</v>
      </c>
      <c r="P171" s="5">
        <v>0.27</v>
      </c>
      <c r="Q171" s="5">
        <v>0.1</v>
      </c>
      <c r="R171" s="5">
        <v>0.17</v>
      </c>
      <c r="S171" s="8">
        <v>0.80083857442348005</v>
      </c>
      <c r="T171" s="5" t="s">
        <v>44</v>
      </c>
      <c r="Y171" s="5" t="s">
        <v>44</v>
      </c>
      <c r="AB171" s="9" t="s">
        <v>44</v>
      </c>
      <c r="AC171" s="2" t="s">
        <v>46</v>
      </c>
      <c r="AD171" s="2">
        <v>0</v>
      </c>
      <c r="AE171" s="2" t="s">
        <v>52</v>
      </c>
      <c r="AF171" s="2" t="s">
        <v>33</v>
      </c>
      <c r="AG171" s="5">
        <v>0</v>
      </c>
      <c r="AH171" s="5" t="s">
        <v>33</v>
      </c>
      <c r="AI171" s="5" t="s">
        <v>33</v>
      </c>
      <c r="AJ171" s="5">
        <v>9</v>
      </c>
      <c r="AK171" s="5" t="s">
        <v>34</v>
      </c>
    </row>
    <row r="172" spans="1:37" x14ac:dyDescent="0.3">
      <c r="A172" s="5">
        <v>177</v>
      </c>
      <c r="B172" s="5" t="s">
        <v>39</v>
      </c>
      <c r="C172" s="5">
        <v>52</v>
      </c>
      <c r="D172" s="2">
        <v>25</v>
      </c>
      <c r="E172" s="5">
        <v>154</v>
      </c>
      <c r="F172" s="5">
        <v>55</v>
      </c>
      <c r="G172" s="6">
        <v>23.19109461966605</v>
      </c>
      <c r="H172" s="9" t="s">
        <v>33</v>
      </c>
      <c r="I172" s="2">
        <v>36</v>
      </c>
      <c r="J172" s="5" t="s">
        <v>44</v>
      </c>
      <c r="K172" s="5" t="s">
        <v>44</v>
      </c>
      <c r="L172" s="5" t="s">
        <v>44</v>
      </c>
      <c r="M172" s="5" t="s">
        <v>44</v>
      </c>
      <c r="N172" s="5">
        <v>20.8</v>
      </c>
      <c r="O172" s="5">
        <v>36.200000000000003</v>
      </c>
      <c r="P172" s="5">
        <v>1.75</v>
      </c>
      <c r="Q172" s="5">
        <v>0.28000000000000003</v>
      </c>
      <c r="R172" s="5">
        <v>1.47</v>
      </c>
      <c r="S172" s="8">
        <v>1.7403846153846154</v>
      </c>
      <c r="T172" s="5" t="s">
        <v>44</v>
      </c>
      <c r="Y172" s="5" t="s">
        <v>44</v>
      </c>
      <c r="AB172" s="9" t="s">
        <v>44</v>
      </c>
      <c r="AC172" s="2" t="s">
        <v>46</v>
      </c>
      <c r="AD172" s="2">
        <v>0</v>
      </c>
      <c r="AE172" s="2" t="s">
        <v>48</v>
      </c>
      <c r="AF172" s="2" t="s">
        <v>85</v>
      </c>
      <c r="AG172" s="5">
        <v>1</v>
      </c>
      <c r="AH172" s="5" t="s">
        <v>87</v>
      </c>
      <c r="AI172" s="5" t="s">
        <v>87</v>
      </c>
      <c r="AJ172" s="5">
        <v>8</v>
      </c>
      <c r="AK172" s="5" t="s">
        <v>34</v>
      </c>
    </row>
    <row r="173" spans="1:37" x14ac:dyDescent="0.3">
      <c r="A173" s="5">
        <v>178</v>
      </c>
      <c r="B173" s="5" t="s">
        <v>39</v>
      </c>
      <c r="C173" s="5">
        <v>40</v>
      </c>
      <c r="D173" s="2">
        <v>18</v>
      </c>
      <c r="E173" s="5">
        <v>170</v>
      </c>
      <c r="F173" s="5">
        <v>70</v>
      </c>
      <c r="G173" s="6">
        <v>24.221453287197232</v>
      </c>
      <c r="H173" s="9" t="s">
        <v>33</v>
      </c>
      <c r="I173" s="2">
        <v>32</v>
      </c>
      <c r="J173" s="5" t="s">
        <v>44</v>
      </c>
      <c r="K173" s="5" t="s">
        <v>44</v>
      </c>
      <c r="L173" s="5" t="s">
        <v>44</v>
      </c>
      <c r="M173" s="5" t="s">
        <v>44</v>
      </c>
      <c r="N173" s="5">
        <v>28.4</v>
      </c>
      <c r="O173" s="5">
        <v>35.200000000000003</v>
      </c>
      <c r="P173" s="5">
        <v>1.49</v>
      </c>
      <c r="Q173" s="5">
        <v>0.38</v>
      </c>
      <c r="R173" s="5">
        <v>1.1100000000000001</v>
      </c>
      <c r="S173" s="8">
        <v>1.23943661971831</v>
      </c>
      <c r="T173" s="5" t="s">
        <v>44</v>
      </c>
      <c r="Y173" s="5" t="s">
        <v>44</v>
      </c>
      <c r="AB173" s="9" t="s">
        <v>44</v>
      </c>
      <c r="AC173" s="2" t="s">
        <v>47</v>
      </c>
      <c r="AD173" s="2">
        <v>0</v>
      </c>
      <c r="AE173" s="2" t="s">
        <v>52</v>
      </c>
      <c r="AF173" s="2" t="s">
        <v>85</v>
      </c>
      <c r="AG173" s="5">
        <v>1</v>
      </c>
      <c r="AH173" s="5" t="s">
        <v>87</v>
      </c>
      <c r="AI173" s="5" t="s">
        <v>87</v>
      </c>
      <c r="AJ173" s="5">
        <v>9</v>
      </c>
      <c r="AK173" s="5" t="s">
        <v>34</v>
      </c>
    </row>
    <row r="174" spans="1:37" x14ac:dyDescent="0.3">
      <c r="A174" s="5">
        <v>179</v>
      </c>
      <c r="B174" s="5" t="s">
        <v>39</v>
      </c>
      <c r="C174" s="5">
        <v>45</v>
      </c>
      <c r="D174" s="2">
        <v>20</v>
      </c>
      <c r="E174" s="5">
        <v>174</v>
      </c>
      <c r="F174" s="5">
        <v>74</v>
      </c>
      <c r="G174" s="6">
        <v>24.441802087462015</v>
      </c>
      <c r="H174" s="9" t="s">
        <v>33</v>
      </c>
      <c r="I174" s="2">
        <v>36</v>
      </c>
      <c r="J174" s="5" t="s">
        <v>45</v>
      </c>
      <c r="K174" s="5" t="s">
        <v>44</v>
      </c>
      <c r="L174" s="5" t="s">
        <v>44</v>
      </c>
      <c r="M174" s="5" t="s">
        <v>44</v>
      </c>
      <c r="N174" s="5">
        <v>68.8</v>
      </c>
      <c r="O174" s="5">
        <v>36.200000000000003</v>
      </c>
      <c r="P174" s="5">
        <v>0.47</v>
      </c>
      <c r="Q174" s="5">
        <v>0.11</v>
      </c>
      <c r="R174" s="5">
        <v>0.36</v>
      </c>
      <c r="S174" s="8">
        <v>0.52616279069767447</v>
      </c>
      <c r="T174" s="5" t="s">
        <v>44</v>
      </c>
      <c r="Y174" s="5" t="s">
        <v>44</v>
      </c>
      <c r="AB174" s="9" t="s">
        <v>44</v>
      </c>
      <c r="AC174" s="2" t="s">
        <v>46</v>
      </c>
      <c r="AD174" s="2">
        <v>0</v>
      </c>
      <c r="AE174" s="2" t="s">
        <v>49</v>
      </c>
      <c r="AF174" s="2" t="s">
        <v>85</v>
      </c>
      <c r="AG174" s="5">
        <v>1</v>
      </c>
      <c r="AH174" s="5" t="s">
        <v>37</v>
      </c>
      <c r="AI174" s="5" t="s">
        <v>37</v>
      </c>
      <c r="AJ174" s="5">
        <v>19</v>
      </c>
      <c r="AK174" s="5" t="s">
        <v>34</v>
      </c>
    </row>
    <row r="175" spans="1:37" x14ac:dyDescent="0.3">
      <c r="A175" s="5">
        <v>180</v>
      </c>
      <c r="B175" s="5" t="s">
        <v>39</v>
      </c>
      <c r="C175" s="5">
        <v>39</v>
      </c>
      <c r="D175" s="2">
        <v>16</v>
      </c>
      <c r="E175" s="5">
        <v>168</v>
      </c>
      <c r="F175" s="5">
        <v>68</v>
      </c>
      <c r="G175" s="6">
        <v>24.09297052154195</v>
      </c>
      <c r="H175" s="9" t="s">
        <v>33</v>
      </c>
      <c r="I175" s="2">
        <v>32</v>
      </c>
      <c r="J175" s="5" t="s">
        <v>45</v>
      </c>
      <c r="K175" s="5" t="s">
        <v>44</v>
      </c>
      <c r="L175" s="5" t="s">
        <v>44</v>
      </c>
      <c r="M175" s="5" t="s">
        <v>44</v>
      </c>
      <c r="N175" s="5">
        <v>30.1</v>
      </c>
      <c r="O175" s="5">
        <v>39.6</v>
      </c>
      <c r="P175" s="5">
        <v>1.37</v>
      </c>
      <c r="Q175" s="5">
        <v>0.17</v>
      </c>
      <c r="R175" s="5">
        <v>1.2</v>
      </c>
      <c r="S175" s="8">
        <v>1.3156146179401993</v>
      </c>
      <c r="T175" s="5" t="s">
        <v>44</v>
      </c>
      <c r="Y175" s="5" t="s">
        <v>44</v>
      </c>
      <c r="AB175" s="9" t="s">
        <v>44</v>
      </c>
      <c r="AC175" s="2" t="s">
        <v>47</v>
      </c>
      <c r="AD175" s="2">
        <v>0</v>
      </c>
      <c r="AE175" s="2" t="s">
        <v>52</v>
      </c>
      <c r="AF175" s="2" t="s">
        <v>33</v>
      </c>
      <c r="AG175" s="5">
        <v>0</v>
      </c>
      <c r="AH175" s="5" t="s">
        <v>33</v>
      </c>
      <c r="AI175" s="5" t="s">
        <v>33</v>
      </c>
      <c r="AJ175" s="5">
        <v>11</v>
      </c>
      <c r="AK175" s="5" t="s">
        <v>34</v>
      </c>
    </row>
    <row r="176" spans="1:37" x14ac:dyDescent="0.3">
      <c r="A176" s="5">
        <v>181</v>
      </c>
      <c r="B176" s="5" t="s">
        <v>39</v>
      </c>
      <c r="C176" s="5">
        <v>38</v>
      </c>
      <c r="D176" s="2">
        <v>8</v>
      </c>
      <c r="E176" s="5">
        <v>165</v>
      </c>
      <c r="F176" s="5">
        <v>68</v>
      </c>
      <c r="G176" s="6">
        <v>24.977043158861338</v>
      </c>
      <c r="H176" s="9" t="s">
        <v>42</v>
      </c>
      <c r="I176" s="2">
        <v>32</v>
      </c>
      <c r="J176" s="5" t="s">
        <v>44</v>
      </c>
      <c r="K176" s="5" t="s">
        <v>44</v>
      </c>
      <c r="L176" s="5" t="s">
        <v>44</v>
      </c>
      <c r="M176" s="5" t="s">
        <v>44</v>
      </c>
      <c r="N176" s="5">
        <v>43</v>
      </c>
      <c r="O176" s="5">
        <v>48.5</v>
      </c>
      <c r="P176" s="5">
        <v>0.48</v>
      </c>
      <c r="Q176" s="5">
        <v>0.06</v>
      </c>
      <c r="R176" s="5">
        <v>0.42</v>
      </c>
      <c r="S176" s="8">
        <v>1.1279069767441861</v>
      </c>
      <c r="T176" s="5" t="s">
        <v>44</v>
      </c>
      <c r="Y176" s="5" t="s">
        <v>44</v>
      </c>
      <c r="AB176" s="9" t="s">
        <v>44</v>
      </c>
      <c r="AC176" s="2" t="s">
        <v>46</v>
      </c>
      <c r="AD176" s="2">
        <v>0</v>
      </c>
      <c r="AE176" s="2" t="s">
        <v>49</v>
      </c>
      <c r="AF176" s="2" t="s">
        <v>85</v>
      </c>
      <c r="AG176" s="5">
        <v>1</v>
      </c>
      <c r="AH176" s="5" t="s">
        <v>88</v>
      </c>
      <c r="AI176" s="5" t="s">
        <v>88</v>
      </c>
      <c r="AJ176" s="5">
        <v>13</v>
      </c>
      <c r="AK176" s="5" t="s">
        <v>34</v>
      </c>
    </row>
    <row r="177" spans="1:37" x14ac:dyDescent="0.3">
      <c r="A177" s="5">
        <v>182</v>
      </c>
      <c r="B177" s="5" t="s">
        <v>39</v>
      </c>
      <c r="C177" s="5">
        <v>21</v>
      </c>
      <c r="D177" s="2">
        <v>1</v>
      </c>
      <c r="E177" s="5">
        <v>160</v>
      </c>
      <c r="F177" s="5">
        <v>45</v>
      </c>
      <c r="G177" s="6">
        <v>17.578125</v>
      </c>
      <c r="H177" s="9" t="s">
        <v>43</v>
      </c>
      <c r="I177" s="2">
        <v>28</v>
      </c>
      <c r="J177" s="5" t="s">
        <v>44</v>
      </c>
      <c r="K177" s="5" t="s">
        <v>44</v>
      </c>
      <c r="L177" s="5" t="s">
        <v>44</v>
      </c>
      <c r="M177" s="5" t="s">
        <v>45</v>
      </c>
      <c r="N177" s="5">
        <v>23.14</v>
      </c>
      <c r="O177" s="5">
        <v>40.270000000000003</v>
      </c>
      <c r="P177" s="5">
        <v>0.55000000000000004</v>
      </c>
      <c r="Q177" s="5">
        <v>0.12</v>
      </c>
      <c r="R177" s="5">
        <v>0.43</v>
      </c>
      <c r="S177" s="8">
        <v>1.7402765773552291</v>
      </c>
      <c r="T177" s="5" t="s">
        <v>44</v>
      </c>
      <c r="Y177" s="5" t="s">
        <v>44</v>
      </c>
      <c r="AB177" s="9" t="s">
        <v>44</v>
      </c>
      <c r="AC177" s="2" t="s">
        <v>46</v>
      </c>
      <c r="AD177" s="2">
        <v>0</v>
      </c>
      <c r="AE177" s="2" t="s">
        <v>52</v>
      </c>
      <c r="AF177" s="2" t="s">
        <v>85</v>
      </c>
      <c r="AG177" s="5">
        <v>1</v>
      </c>
      <c r="AH177" s="5" t="s">
        <v>88</v>
      </c>
      <c r="AI177" s="5" t="s">
        <v>88</v>
      </c>
      <c r="AJ177" s="5">
        <v>9</v>
      </c>
      <c r="AK177" s="5" t="s">
        <v>34</v>
      </c>
    </row>
    <row r="178" spans="1:37" x14ac:dyDescent="0.3">
      <c r="A178" s="5">
        <v>183</v>
      </c>
      <c r="B178" s="5" t="s">
        <v>39</v>
      </c>
      <c r="C178" s="5">
        <v>45</v>
      </c>
      <c r="D178" s="2">
        <v>8</v>
      </c>
      <c r="E178" s="5">
        <v>170</v>
      </c>
      <c r="F178" s="5">
        <v>79</v>
      </c>
      <c r="G178" s="6">
        <v>27.335640138408305</v>
      </c>
      <c r="H178" s="9" t="s">
        <v>42</v>
      </c>
      <c r="I178" s="2">
        <v>36</v>
      </c>
      <c r="J178" s="5" t="s">
        <v>44</v>
      </c>
      <c r="K178" s="5" t="s">
        <v>44</v>
      </c>
      <c r="L178" s="5" t="s">
        <v>44</v>
      </c>
      <c r="M178" s="5" t="s">
        <v>44</v>
      </c>
      <c r="N178" s="5">
        <v>35.86</v>
      </c>
      <c r="O178" s="5">
        <v>72.66</v>
      </c>
      <c r="P178" s="5">
        <v>0.15</v>
      </c>
      <c r="Q178" s="5">
        <v>0.06</v>
      </c>
      <c r="R178" s="5">
        <v>0.09</v>
      </c>
      <c r="S178" s="8">
        <v>2.0262130507529279</v>
      </c>
      <c r="T178" s="5" t="s">
        <v>44</v>
      </c>
      <c r="Y178" s="5" t="s">
        <v>44</v>
      </c>
      <c r="AB178" s="9" t="s">
        <v>44</v>
      </c>
      <c r="AC178" s="2" t="s">
        <v>46</v>
      </c>
      <c r="AD178" s="2">
        <v>0</v>
      </c>
      <c r="AE178" s="2" t="s">
        <v>48</v>
      </c>
      <c r="AF178" s="2" t="s">
        <v>85</v>
      </c>
      <c r="AG178" s="5">
        <v>1</v>
      </c>
      <c r="AH178" s="5" t="s">
        <v>36</v>
      </c>
      <c r="AI178" s="5" t="s">
        <v>86</v>
      </c>
      <c r="AJ178" s="5">
        <v>17</v>
      </c>
      <c r="AK178" s="5" t="s">
        <v>34</v>
      </c>
    </row>
    <row r="179" spans="1:37" x14ac:dyDescent="0.3">
      <c r="A179" s="5">
        <v>184</v>
      </c>
      <c r="B179" s="5" t="s">
        <v>39</v>
      </c>
      <c r="C179" s="5">
        <v>42</v>
      </c>
      <c r="D179" s="2">
        <v>14</v>
      </c>
      <c r="E179" s="5">
        <v>160</v>
      </c>
      <c r="F179" s="5">
        <v>63</v>
      </c>
      <c r="G179" s="6">
        <v>24.609375</v>
      </c>
      <c r="H179" s="9" t="s">
        <v>33</v>
      </c>
      <c r="I179" s="2">
        <v>32</v>
      </c>
      <c r="J179" s="5" t="s">
        <v>44</v>
      </c>
      <c r="K179" s="5" t="s">
        <v>44</v>
      </c>
      <c r="L179" s="5" t="s">
        <v>44</v>
      </c>
      <c r="M179" s="5" t="s">
        <v>44</v>
      </c>
      <c r="N179" s="5">
        <v>32</v>
      </c>
      <c r="O179" s="5">
        <v>38.200000000000003</v>
      </c>
      <c r="P179" s="5">
        <v>0.46</v>
      </c>
      <c r="Q179" s="5">
        <v>0.11</v>
      </c>
      <c r="R179" s="5">
        <v>0.35</v>
      </c>
      <c r="S179" s="8">
        <v>1.1937500000000001</v>
      </c>
      <c r="T179" s="5" t="s">
        <v>44</v>
      </c>
      <c r="Y179" s="5" t="s">
        <v>44</v>
      </c>
      <c r="AB179" s="9" t="s">
        <v>44</v>
      </c>
      <c r="AC179" s="2" t="s">
        <v>46</v>
      </c>
      <c r="AD179" s="2">
        <v>0</v>
      </c>
      <c r="AE179" s="2" t="s">
        <v>52</v>
      </c>
      <c r="AF179" s="2" t="s">
        <v>33</v>
      </c>
      <c r="AG179" s="5">
        <v>0</v>
      </c>
      <c r="AH179" s="5" t="s">
        <v>33</v>
      </c>
      <c r="AI179" s="5" t="s">
        <v>33</v>
      </c>
      <c r="AJ179" s="5">
        <v>7</v>
      </c>
      <c r="AK179" s="5" t="s">
        <v>34</v>
      </c>
    </row>
    <row r="180" spans="1:37" ht="28.8" x14ac:dyDescent="0.3">
      <c r="A180" s="5">
        <v>185</v>
      </c>
      <c r="B180" s="5" t="s">
        <v>39</v>
      </c>
      <c r="C180" s="5">
        <v>31</v>
      </c>
      <c r="D180" s="2">
        <v>5</v>
      </c>
      <c r="E180" s="5">
        <v>180</v>
      </c>
      <c r="F180" s="5">
        <v>93</v>
      </c>
      <c r="G180" s="6">
        <v>28.703703703703702</v>
      </c>
      <c r="H180" s="9" t="s">
        <v>42</v>
      </c>
      <c r="I180" s="2">
        <v>36</v>
      </c>
      <c r="J180" s="5" t="s">
        <v>44</v>
      </c>
      <c r="K180" s="5" t="s">
        <v>44</v>
      </c>
      <c r="L180" s="5" t="s">
        <v>44</v>
      </c>
      <c r="M180" s="5" t="s">
        <v>44</v>
      </c>
      <c r="N180" s="5">
        <v>82</v>
      </c>
      <c r="O180" s="5">
        <v>35.200000000000003</v>
      </c>
      <c r="P180" s="5">
        <v>0.78</v>
      </c>
      <c r="Q180" s="5">
        <v>0.22</v>
      </c>
      <c r="R180" s="5">
        <v>0.56000000000000005</v>
      </c>
      <c r="S180" s="8">
        <v>0.42926829268292688</v>
      </c>
      <c r="T180" s="5" t="s">
        <v>45</v>
      </c>
      <c r="U180" s="5" t="s">
        <v>58</v>
      </c>
      <c r="V180" s="5" t="s">
        <v>61</v>
      </c>
      <c r="W180" s="5" t="s">
        <v>65</v>
      </c>
      <c r="X180" s="5" t="s">
        <v>67</v>
      </c>
      <c r="Y180" s="5" t="s">
        <v>44</v>
      </c>
      <c r="AB180" s="9" t="s">
        <v>44</v>
      </c>
      <c r="AC180" s="2" t="s">
        <v>46</v>
      </c>
      <c r="AD180" s="2">
        <v>0</v>
      </c>
      <c r="AE180" s="2" t="s">
        <v>49</v>
      </c>
      <c r="AF180" s="2" t="s">
        <v>85</v>
      </c>
      <c r="AG180" s="5">
        <v>1</v>
      </c>
      <c r="AH180" s="5" t="s">
        <v>37</v>
      </c>
      <c r="AI180" s="5" t="s">
        <v>37</v>
      </c>
      <c r="AJ180" s="5">
        <v>33</v>
      </c>
      <c r="AK180" s="5" t="s">
        <v>35</v>
      </c>
    </row>
    <row r="181" spans="1:37" x14ac:dyDescent="0.3">
      <c r="A181" s="5">
        <v>186</v>
      </c>
      <c r="B181" s="5" t="s">
        <v>39</v>
      </c>
      <c r="C181" s="5">
        <v>47</v>
      </c>
      <c r="D181" s="2">
        <v>12</v>
      </c>
      <c r="E181" s="5">
        <v>160</v>
      </c>
      <c r="F181" s="5">
        <v>68</v>
      </c>
      <c r="G181" s="6">
        <v>26.562500000000004</v>
      </c>
      <c r="H181" s="9" t="s">
        <v>42</v>
      </c>
      <c r="I181" s="2">
        <v>34</v>
      </c>
      <c r="J181" s="5" t="s">
        <v>44</v>
      </c>
      <c r="K181" s="5" t="s">
        <v>44</v>
      </c>
      <c r="L181" s="5" t="s">
        <v>45</v>
      </c>
      <c r="M181" s="5" t="s">
        <v>45</v>
      </c>
      <c r="N181" s="5">
        <v>35.4</v>
      </c>
      <c r="O181" s="5">
        <v>42.9</v>
      </c>
      <c r="P181" s="5">
        <v>0.38</v>
      </c>
      <c r="Q181" s="5">
        <v>0.13</v>
      </c>
      <c r="R181" s="5">
        <v>0.25</v>
      </c>
      <c r="S181" s="8">
        <v>1.2118644067796611</v>
      </c>
      <c r="T181" s="5" t="s">
        <v>44</v>
      </c>
      <c r="Y181" s="5" t="s">
        <v>44</v>
      </c>
      <c r="AB181" s="9" t="s">
        <v>44</v>
      </c>
      <c r="AC181" s="2" t="s">
        <v>46</v>
      </c>
      <c r="AD181" s="2">
        <v>0</v>
      </c>
      <c r="AE181" s="2" t="s">
        <v>49</v>
      </c>
      <c r="AF181" s="2" t="s">
        <v>85</v>
      </c>
      <c r="AG181" s="5">
        <v>1</v>
      </c>
      <c r="AH181" s="5" t="s">
        <v>37</v>
      </c>
      <c r="AI181" s="5" t="s">
        <v>37</v>
      </c>
      <c r="AJ181" s="5">
        <v>21</v>
      </c>
      <c r="AK181" s="5" t="s">
        <v>35</v>
      </c>
    </row>
    <row r="182" spans="1:37" x14ac:dyDescent="0.3">
      <c r="A182" s="5">
        <v>187</v>
      </c>
      <c r="B182" s="5" t="s">
        <v>39</v>
      </c>
      <c r="C182" s="5">
        <v>38</v>
      </c>
      <c r="D182" s="2">
        <v>14</v>
      </c>
      <c r="E182" s="5">
        <v>170</v>
      </c>
      <c r="F182" s="5">
        <v>62</v>
      </c>
      <c r="G182" s="6">
        <v>21.453287197231834</v>
      </c>
      <c r="H182" s="9" t="s">
        <v>33</v>
      </c>
      <c r="I182" s="2">
        <v>30</v>
      </c>
      <c r="J182" s="5" t="s">
        <v>44</v>
      </c>
      <c r="K182" s="5" t="s">
        <v>44</v>
      </c>
      <c r="L182" s="5" t="s">
        <v>44</v>
      </c>
      <c r="M182" s="5" t="s">
        <v>45</v>
      </c>
      <c r="N182" s="5">
        <v>45.2</v>
      </c>
      <c r="O182" s="5">
        <v>39.200000000000003</v>
      </c>
      <c r="P182" s="5">
        <v>1.1499999999999999</v>
      </c>
      <c r="Q182" s="5">
        <v>0.19</v>
      </c>
      <c r="R182" s="5">
        <v>0.96</v>
      </c>
      <c r="S182" s="8">
        <v>0.86725663716814161</v>
      </c>
      <c r="T182" s="5" t="s">
        <v>44</v>
      </c>
      <c r="Y182" s="5" t="s">
        <v>44</v>
      </c>
      <c r="AB182" s="9" t="s">
        <v>44</v>
      </c>
      <c r="AC182" s="2" t="s">
        <v>47</v>
      </c>
      <c r="AD182" s="2">
        <v>0</v>
      </c>
      <c r="AE182" s="2" t="s">
        <v>52</v>
      </c>
      <c r="AF182" s="2" t="s">
        <v>33</v>
      </c>
      <c r="AG182" s="5">
        <v>0</v>
      </c>
      <c r="AH182" s="5" t="s">
        <v>33</v>
      </c>
      <c r="AI182" s="5" t="s">
        <v>33</v>
      </c>
      <c r="AJ182" s="5">
        <v>10</v>
      </c>
      <c r="AK182" s="5" t="s">
        <v>34</v>
      </c>
    </row>
    <row r="183" spans="1:37" x14ac:dyDescent="0.3">
      <c r="A183" s="5">
        <v>189</v>
      </c>
      <c r="B183" s="5" t="s">
        <v>39</v>
      </c>
      <c r="C183" s="5">
        <v>40</v>
      </c>
      <c r="D183" s="2">
        <v>14</v>
      </c>
      <c r="E183" s="5">
        <v>168</v>
      </c>
      <c r="F183" s="5">
        <v>85</v>
      </c>
      <c r="G183" s="6">
        <v>30.116213151927436</v>
      </c>
      <c r="H183" s="9" t="s">
        <v>41</v>
      </c>
      <c r="I183" s="2">
        <v>34</v>
      </c>
      <c r="J183" s="5" t="s">
        <v>44</v>
      </c>
      <c r="K183" s="5" t="s">
        <v>44</v>
      </c>
      <c r="L183" s="5" t="s">
        <v>44</v>
      </c>
      <c r="M183" s="5" t="s">
        <v>44</v>
      </c>
      <c r="N183" s="5">
        <v>28.4</v>
      </c>
      <c r="O183" s="5">
        <v>43.9</v>
      </c>
      <c r="P183" s="5">
        <v>0.44</v>
      </c>
      <c r="Q183" s="5">
        <v>0.08</v>
      </c>
      <c r="R183" s="5">
        <v>0.36</v>
      </c>
      <c r="S183" s="8">
        <v>1.545774647887324</v>
      </c>
      <c r="T183" s="5" t="s">
        <v>44</v>
      </c>
      <c r="Y183" s="5" t="s">
        <v>44</v>
      </c>
      <c r="AB183" s="9" t="s">
        <v>44</v>
      </c>
      <c r="AC183" s="2" t="s">
        <v>46</v>
      </c>
      <c r="AD183" s="2">
        <v>0</v>
      </c>
      <c r="AE183" s="2" t="s">
        <v>52</v>
      </c>
      <c r="AF183" s="2" t="s">
        <v>85</v>
      </c>
      <c r="AG183" s="5">
        <v>1</v>
      </c>
      <c r="AH183" s="5" t="s">
        <v>37</v>
      </c>
      <c r="AI183" s="5" t="s">
        <v>37</v>
      </c>
      <c r="AJ183" s="5">
        <v>24</v>
      </c>
      <c r="AK183" s="5" t="s">
        <v>35</v>
      </c>
    </row>
    <row r="184" spans="1:37" ht="28.8" x14ac:dyDescent="0.3">
      <c r="A184" s="5">
        <v>190</v>
      </c>
      <c r="B184" s="5" t="s">
        <v>39</v>
      </c>
      <c r="C184" s="5">
        <v>37</v>
      </c>
      <c r="D184" s="2">
        <v>16</v>
      </c>
      <c r="E184" s="5">
        <v>175</v>
      </c>
      <c r="F184" s="5">
        <v>70</v>
      </c>
      <c r="G184" s="6">
        <v>22.857142857142858</v>
      </c>
      <c r="H184" s="9" t="s">
        <v>33</v>
      </c>
      <c r="I184" s="2">
        <v>34</v>
      </c>
      <c r="J184" s="5" t="s">
        <v>44</v>
      </c>
      <c r="K184" s="5" t="s">
        <v>44</v>
      </c>
      <c r="L184" s="5" t="s">
        <v>44</v>
      </c>
      <c r="M184" s="5" t="s">
        <v>45</v>
      </c>
      <c r="N184" s="5">
        <v>17.47</v>
      </c>
      <c r="O184" s="5">
        <v>110.17</v>
      </c>
      <c r="P184" s="5">
        <v>0.6</v>
      </c>
      <c r="Q184" s="5">
        <v>0.16</v>
      </c>
      <c r="R184" s="5">
        <v>0.44</v>
      </c>
      <c r="S184" s="8">
        <v>6.306239267315398</v>
      </c>
      <c r="T184" s="5" t="s">
        <v>45</v>
      </c>
      <c r="U184" s="5" t="s">
        <v>56</v>
      </c>
      <c r="V184" s="5" t="s">
        <v>62</v>
      </c>
      <c r="W184" s="5" t="s">
        <v>64</v>
      </c>
      <c r="X184" s="5" t="s">
        <v>68</v>
      </c>
      <c r="Y184" s="5" t="s">
        <v>44</v>
      </c>
      <c r="AB184" s="9" t="s">
        <v>44</v>
      </c>
      <c r="AC184" s="2" t="s">
        <v>46</v>
      </c>
      <c r="AD184" s="2">
        <v>0</v>
      </c>
      <c r="AE184" s="2" t="s">
        <v>52</v>
      </c>
      <c r="AF184" s="2" t="s">
        <v>85</v>
      </c>
      <c r="AG184" s="5">
        <v>1</v>
      </c>
      <c r="AH184" s="5" t="s">
        <v>36</v>
      </c>
      <c r="AI184" s="5" t="s">
        <v>89</v>
      </c>
      <c r="AJ184" s="5">
        <v>32</v>
      </c>
      <c r="AK184" s="5" t="s">
        <v>35</v>
      </c>
    </row>
    <row r="185" spans="1:37" x14ac:dyDescent="0.3">
      <c r="A185" s="5">
        <v>191</v>
      </c>
      <c r="B185" s="5" t="s">
        <v>39</v>
      </c>
      <c r="C185" s="5">
        <v>46</v>
      </c>
      <c r="D185" s="2">
        <v>20</v>
      </c>
      <c r="E185" s="5">
        <v>170</v>
      </c>
      <c r="F185" s="5">
        <v>71</v>
      </c>
      <c r="G185" s="6">
        <v>24.567474048442904</v>
      </c>
      <c r="H185" s="9" t="s">
        <v>33</v>
      </c>
      <c r="I185" s="2">
        <v>32</v>
      </c>
      <c r="J185" s="5" t="s">
        <v>44</v>
      </c>
      <c r="K185" s="5" t="s">
        <v>44</v>
      </c>
      <c r="L185" s="5" t="s">
        <v>44</v>
      </c>
      <c r="M185" s="5" t="s">
        <v>44</v>
      </c>
      <c r="N185" s="5">
        <v>35.9</v>
      </c>
      <c r="O185" s="5">
        <v>30.1</v>
      </c>
      <c r="P185" s="5">
        <v>0.27</v>
      </c>
      <c r="Q185" s="5">
        <v>0.04</v>
      </c>
      <c r="R185" s="5">
        <v>0.23</v>
      </c>
      <c r="S185" s="8">
        <v>0.83844011142061292</v>
      </c>
      <c r="T185" s="5" t="s">
        <v>44</v>
      </c>
      <c r="Y185" s="5" t="s">
        <v>44</v>
      </c>
      <c r="AB185" s="9" t="s">
        <v>44</v>
      </c>
      <c r="AC185" s="2" t="s">
        <v>46</v>
      </c>
      <c r="AD185" s="2">
        <v>0</v>
      </c>
      <c r="AE185" s="2" t="s">
        <v>49</v>
      </c>
      <c r="AF185" s="2" t="s">
        <v>33</v>
      </c>
      <c r="AG185" s="5">
        <v>0</v>
      </c>
      <c r="AH185" s="5" t="s">
        <v>33</v>
      </c>
      <c r="AI185" s="5" t="s">
        <v>33</v>
      </c>
      <c r="AJ185" s="5">
        <v>9</v>
      </c>
      <c r="AK185" s="5" t="s">
        <v>34</v>
      </c>
    </row>
    <row r="186" spans="1:37" ht="28.8" x14ac:dyDescent="0.3">
      <c r="A186" s="5">
        <v>192</v>
      </c>
      <c r="B186" s="5" t="s">
        <v>39</v>
      </c>
      <c r="C186" s="5">
        <v>28</v>
      </c>
      <c r="D186" s="2">
        <v>6</v>
      </c>
      <c r="E186" s="5">
        <v>173</v>
      </c>
      <c r="F186" s="5">
        <v>90</v>
      </c>
      <c r="G186" s="6">
        <v>30.071168431955627</v>
      </c>
      <c r="H186" s="9" t="s">
        <v>41</v>
      </c>
      <c r="I186" s="2">
        <v>38</v>
      </c>
      <c r="J186" s="5" t="s">
        <v>44</v>
      </c>
      <c r="K186" s="5" t="s">
        <v>44</v>
      </c>
      <c r="L186" s="5" t="s">
        <v>44</v>
      </c>
      <c r="M186" s="5" t="s">
        <v>44</v>
      </c>
      <c r="N186" s="5">
        <v>56.5</v>
      </c>
      <c r="O186" s="5">
        <v>50.2</v>
      </c>
      <c r="P186" s="5">
        <v>0.37</v>
      </c>
      <c r="Q186" s="5">
        <v>0.04</v>
      </c>
      <c r="R186" s="5">
        <v>0.33</v>
      </c>
      <c r="S186" s="8">
        <v>0.88849557522123901</v>
      </c>
      <c r="T186" s="5" t="s">
        <v>45</v>
      </c>
      <c r="U186" s="5" t="s">
        <v>56</v>
      </c>
      <c r="V186" s="5" t="s">
        <v>61</v>
      </c>
      <c r="W186" s="5" t="s">
        <v>64</v>
      </c>
      <c r="X186" s="5" t="s">
        <v>67</v>
      </c>
      <c r="Y186" s="5" t="s">
        <v>44</v>
      </c>
      <c r="AB186" s="9" t="s">
        <v>44</v>
      </c>
      <c r="AC186" s="2" t="s">
        <v>46</v>
      </c>
      <c r="AD186" s="2">
        <v>0</v>
      </c>
      <c r="AE186" s="2" t="s">
        <v>52</v>
      </c>
      <c r="AF186" s="2" t="s">
        <v>85</v>
      </c>
      <c r="AG186" s="5">
        <v>1</v>
      </c>
      <c r="AH186" s="5" t="s">
        <v>37</v>
      </c>
      <c r="AI186" s="5" t="s">
        <v>37</v>
      </c>
      <c r="AJ186" s="5">
        <v>34</v>
      </c>
      <c r="AK186" s="5" t="s">
        <v>35</v>
      </c>
    </row>
    <row r="187" spans="1:37" x14ac:dyDescent="0.3">
      <c r="A187" s="5">
        <v>193</v>
      </c>
      <c r="B187" s="5" t="s">
        <v>39</v>
      </c>
      <c r="C187" s="5">
        <v>27</v>
      </c>
      <c r="D187" s="2">
        <v>5</v>
      </c>
      <c r="E187" s="5">
        <v>165</v>
      </c>
      <c r="F187" s="5">
        <v>62</v>
      </c>
      <c r="G187" s="6">
        <v>22.773186409550046</v>
      </c>
      <c r="H187" s="9" t="s">
        <v>33</v>
      </c>
      <c r="I187" s="2">
        <v>30</v>
      </c>
      <c r="J187" s="5" t="s">
        <v>44</v>
      </c>
      <c r="K187" s="5" t="s">
        <v>44</v>
      </c>
      <c r="L187" s="5" t="s">
        <v>44</v>
      </c>
      <c r="M187" s="5" t="s">
        <v>44</v>
      </c>
      <c r="N187" s="5">
        <v>44.9</v>
      </c>
      <c r="O187" s="5">
        <v>150</v>
      </c>
      <c r="P187" s="5">
        <v>1.56</v>
      </c>
      <c r="Q187" s="5">
        <v>0.23</v>
      </c>
      <c r="R187" s="5">
        <v>1.33</v>
      </c>
      <c r="S187" s="8">
        <v>3.3407572383073498</v>
      </c>
      <c r="T187" s="5" t="s">
        <v>44</v>
      </c>
      <c r="Y187" s="5" t="s">
        <v>44</v>
      </c>
      <c r="AB187" s="9" t="s">
        <v>44</v>
      </c>
      <c r="AC187" s="2" t="s">
        <v>47</v>
      </c>
      <c r="AD187" s="2">
        <v>0</v>
      </c>
      <c r="AE187" s="2" t="s">
        <v>49</v>
      </c>
      <c r="AF187" s="2" t="s">
        <v>85</v>
      </c>
      <c r="AG187" s="5">
        <v>1</v>
      </c>
      <c r="AH187" s="5" t="s">
        <v>36</v>
      </c>
      <c r="AI187" s="5" t="s">
        <v>86</v>
      </c>
      <c r="AJ187" s="5">
        <v>18</v>
      </c>
      <c r="AK187" s="5" t="s">
        <v>34</v>
      </c>
    </row>
    <row r="188" spans="1:37" x14ac:dyDescent="0.3">
      <c r="A188" s="5">
        <v>194</v>
      </c>
      <c r="B188" s="5" t="s">
        <v>39</v>
      </c>
      <c r="C188" s="5">
        <v>35</v>
      </c>
      <c r="D188" s="2">
        <v>10</v>
      </c>
      <c r="E188" s="5">
        <v>182</v>
      </c>
      <c r="F188" s="5">
        <v>95</v>
      </c>
      <c r="G188" s="6">
        <v>28.680111097693512</v>
      </c>
      <c r="H188" s="9" t="s">
        <v>42</v>
      </c>
      <c r="I188" s="2">
        <v>36</v>
      </c>
      <c r="J188" s="5" t="s">
        <v>45</v>
      </c>
      <c r="K188" s="5" t="s">
        <v>44</v>
      </c>
      <c r="L188" s="5" t="s">
        <v>44</v>
      </c>
      <c r="M188" s="5" t="s">
        <v>44</v>
      </c>
      <c r="N188" s="5">
        <v>27.8</v>
      </c>
      <c r="O188" s="5">
        <v>55.5</v>
      </c>
      <c r="P188" s="5">
        <v>1.4</v>
      </c>
      <c r="Q188" s="5">
        <v>0.18</v>
      </c>
      <c r="R188" s="5">
        <v>1.22</v>
      </c>
      <c r="S188" s="8">
        <v>1.9964028776978417</v>
      </c>
      <c r="T188" s="5" t="s">
        <v>44</v>
      </c>
      <c r="Y188" s="5" t="s">
        <v>44</v>
      </c>
      <c r="AB188" s="9" t="s">
        <v>44</v>
      </c>
      <c r="AC188" s="2" t="s">
        <v>47</v>
      </c>
      <c r="AD188" s="2">
        <v>0</v>
      </c>
      <c r="AE188" s="2" t="s">
        <v>49</v>
      </c>
      <c r="AF188" s="2" t="s">
        <v>85</v>
      </c>
      <c r="AG188" s="5">
        <v>1</v>
      </c>
      <c r="AH188" s="5" t="s">
        <v>37</v>
      </c>
      <c r="AI188" s="5" t="s">
        <v>37</v>
      </c>
      <c r="AJ188" s="5">
        <v>24</v>
      </c>
      <c r="AK188" s="5" t="s">
        <v>35</v>
      </c>
    </row>
    <row r="189" spans="1:37" ht="28.8" x14ac:dyDescent="0.3">
      <c r="A189" s="5">
        <v>195</v>
      </c>
      <c r="B189" s="5" t="s">
        <v>39</v>
      </c>
      <c r="C189" s="5">
        <v>30</v>
      </c>
      <c r="D189" s="2">
        <v>6</v>
      </c>
      <c r="E189" s="5">
        <v>178</v>
      </c>
      <c r="F189" s="5">
        <v>82</v>
      </c>
      <c r="G189" s="6">
        <v>25.880570635020828</v>
      </c>
      <c r="H189" s="9" t="s">
        <v>42</v>
      </c>
      <c r="I189" s="2">
        <v>38</v>
      </c>
      <c r="J189" s="5" t="s">
        <v>44</v>
      </c>
      <c r="K189" s="5" t="s">
        <v>44</v>
      </c>
      <c r="L189" s="5" t="s">
        <v>44</v>
      </c>
      <c r="M189" s="5" t="s">
        <v>44</v>
      </c>
      <c r="N189" s="5">
        <v>31</v>
      </c>
      <c r="O189" s="5">
        <v>35.1</v>
      </c>
      <c r="P189" s="5">
        <v>0.79</v>
      </c>
      <c r="Q189" s="5">
        <v>0.18</v>
      </c>
      <c r="R189" s="5">
        <v>0.61</v>
      </c>
      <c r="S189" s="8">
        <v>1.1322580645161291</v>
      </c>
      <c r="T189" s="5" t="s">
        <v>45</v>
      </c>
      <c r="U189" s="5" t="s">
        <v>57</v>
      </c>
      <c r="V189" s="5" t="s">
        <v>61</v>
      </c>
      <c r="W189" s="5" t="s">
        <v>65</v>
      </c>
      <c r="X189" s="5" t="s">
        <v>67</v>
      </c>
      <c r="Y189" s="5" t="s">
        <v>44</v>
      </c>
      <c r="AB189" s="9" t="s">
        <v>44</v>
      </c>
      <c r="AC189" s="2" t="s">
        <v>46</v>
      </c>
      <c r="AD189" s="2">
        <v>0</v>
      </c>
      <c r="AE189" s="2" t="s">
        <v>52</v>
      </c>
      <c r="AF189" s="2" t="s">
        <v>33</v>
      </c>
      <c r="AG189" s="5">
        <v>0</v>
      </c>
      <c r="AH189" s="5" t="s">
        <v>33</v>
      </c>
      <c r="AI189" s="5" t="s">
        <v>33</v>
      </c>
      <c r="AJ189" s="5">
        <v>19</v>
      </c>
      <c r="AK189" s="5" t="s">
        <v>34</v>
      </c>
    </row>
    <row r="190" spans="1:37" x14ac:dyDescent="0.3">
      <c r="A190" s="5">
        <v>196</v>
      </c>
      <c r="B190" s="5" t="s">
        <v>39</v>
      </c>
      <c r="C190" s="5">
        <v>35</v>
      </c>
      <c r="D190" s="2">
        <v>10</v>
      </c>
      <c r="E190" s="5">
        <v>165</v>
      </c>
      <c r="F190" s="5">
        <v>60</v>
      </c>
      <c r="G190" s="6">
        <v>22.038567493112946</v>
      </c>
      <c r="H190" s="9" t="s">
        <v>33</v>
      </c>
      <c r="I190" s="2">
        <v>30</v>
      </c>
      <c r="J190" s="5" t="s">
        <v>44</v>
      </c>
      <c r="K190" s="5" t="s">
        <v>44</v>
      </c>
      <c r="L190" s="5" t="s">
        <v>44</v>
      </c>
      <c r="M190" s="5" t="s">
        <v>44</v>
      </c>
      <c r="N190" s="5">
        <v>23.8</v>
      </c>
      <c r="O190" s="5">
        <v>142.56</v>
      </c>
      <c r="P190" s="5">
        <v>0.57999999999999996</v>
      </c>
      <c r="Q190" s="5">
        <v>0.08</v>
      </c>
      <c r="R190" s="5">
        <v>0.5</v>
      </c>
      <c r="S190" s="8">
        <v>5.9899159663865547</v>
      </c>
      <c r="T190" s="5" t="s">
        <v>44</v>
      </c>
      <c r="Y190" s="5" t="s">
        <v>44</v>
      </c>
      <c r="AB190" s="9" t="s">
        <v>44</v>
      </c>
      <c r="AC190" s="2" t="s">
        <v>46</v>
      </c>
      <c r="AD190" s="2">
        <v>0</v>
      </c>
      <c r="AE190" s="2" t="s">
        <v>52</v>
      </c>
      <c r="AF190" s="2" t="s">
        <v>85</v>
      </c>
      <c r="AG190" s="5">
        <v>1</v>
      </c>
      <c r="AH190" s="5" t="s">
        <v>36</v>
      </c>
      <c r="AI190" s="5" t="s">
        <v>86</v>
      </c>
      <c r="AJ190" s="5">
        <v>16</v>
      </c>
      <c r="AK190" s="5" t="s">
        <v>34</v>
      </c>
    </row>
    <row r="191" spans="1:37" x14ac:dyDescent="0.3">
      <c r="A191" s="5">
        <v>197</v>
      </c>
      <c r="B191" s="5" t="s">
        <v>39</v>
      </c>
      <c r="C191" s="5">
        <v>50</v>
      </c>
      <c r="D191" s="2">
        <v>21</v>
      </c>
      <c r="E191" s="5">
        <v>168</v>
      </c>
      <c r="F191" s="5">
        <v>62</v>
      </c>
      <c r="G191" s="6">
        <v>21.967120181405896</v>
      </c>
      <c r="H191" s="9" t="s">
        <v>33</v>
      </c>
      <c r="I191" s="2">
        <v>34</v>
      </c>
      <c r="J191" s="5" t="s">
        <v>44</v>
      </c>
      <c r="K191" s="5" t="s">
        <v>44</v>
      </c>
      <c r="L191" s="5" t="s">
        <v>44</v>
      </c>
      <c r="M191" s="5" t="s">
        <v>44</v>
      </c>
      <c r="N191" s="5">
        <v>27</v>
      </c>
      <c r="O191" s="5">
        <v>62.3</v>
      </c>
      <c r="P191" s="5">
        <v>0.48</v>
      </c>
      <c r="Q191" s="5">
        <v>0.06</v>
      </c>
      <c r="R191" s="5">
        <v>0.42</v>
      </c>
      <c r="S191" s="8">
        <v>2.3074074074074074</v>
      </c>
      <c r="T191" s="5" t="s">
        <v>44</v>
      </c>
      <c r="Y191" s="5" t="s">
        <v>44</v>
      </c>
      <c r="AB191" s="9" t="s">
        <v>44</v>
      </c>
      <c r="AC191" s="2" t="s">
        <v>46</v>
      </c>
      <c r="AD191" s="2">
        <v>0</v>
      </c>
      <c r="AE191" s="2" t="s">
        <v>49</v>
      </c>
      <c r="AF191" s="2" t="s">
        <v>85</v>
      </c>
      <c r="AG191" s="5">
        <v>1</v>
      </c>
      <c r="AH191" s="5" t="s">
        <v>36</v>
      </c>
      <c r="AI191" s="5" t="s">
        <v>86</v>
      </c>
      <c r="AJ191" s="5">
        <v>15</v>
      </c>
      <c r="AK191" s="5" t="s">
        <v>34</v>
      </c>
    </row>
    <row r="192" spans="1:37" x14ac:dyDescent="0.3">
      <c r="A192" s="5">
        <v>198</v>
      </c>
      <c r="B192" s="5" t="s">
        <v>39</v>
      </c>
      <c r="C192" s="5">
        <v>39</v>
      </c>
      <c r="D192" s="2">
        <v>16</v>
      </c>
      <c r="E192" s="5">
        <v>172</v>
      </c>
      <c r="F192" s="5">
        <v>63</v>
      </c>
      <c r="G192" s="6">
        <v>21.295294753921038</v>
      </c>
      <c r="H192" s="9" t="s">
        <v>33</v>
      </c>
      <c r="I192" s="2">
        <v>32</v>
      </c>
      <c r="J192" s="5" t="s">
        <v>44</v>
      </c>
      <c r="K192" s="5" t="s">
        <v>44</v>
      </c>
      <c r="L192" s="5" t="s">
        <v>44</v>
      </c>
      <c r="M192" s="5" t="s">
        <v>44</v>
      </c>
      <c r="N192" s="5">
        <v>48.4</v>
      </c>
      <c r="O192" s="5">
        <v>37.200000000000003</v>
      </c>
      <c r="P192" s="5">
        <v>0.52</v>
      </c>
      <c r="Q192" s="5">
        <v>0.04</v>
      </c>
      <c r="R192" s="5">
        <v>0.48</v>
      </c>
      <c r="S192" s="8">
        <v>0.76859504132231415</v>
      </c>
      <c r="T192" s="5" t="s">
        <v>44</v>
      </c>
      <c r="Y192" s="5" t="s">
        <v>44</v>
      </c>
      <c r="AB192" s="9" t="s">
        <v>44</v>
      </c>
      <c r="AC192" s="2" t="s">
        <v>47</v>
      </c>
      <c r="AD192" s="2">
        <v>0</v>
      </c>
      <c r="AE192" s="2" t="s">
        <v>52</v>
      </c>
      <c r="AF192" s="2" t="s">
        <v>33</v>
      </c>
      <c r="AG192" s="5">
        <v>0</v>
      </c>
      <c r="AH192" s="5" t="s">
        <v>33</v>
      </c>
      <c r="AI192" s="5" t="s">
        <v>33</v>
      </c>
      <c r="AJ192" s="5">
        <v>8</v>
      </c>
      <c r="AK192" s="5" t="s">
        <v>34</v>
      </c>
    </row>
    <row r="193" spans="1:37" x14ac:dyDescent="0.3">
      <c r="A193" s="5">
        <v>199</v>
      </c>
      <c r="B193" s="5" t="s">
        <v>39</v>
      </c>
      <c r="C193" s="5">
        <v>38</v>
      </c>
      <c r="D193" s="2">
        <v>14</v>
      </c>
      <c r="E193" s="5">
        <v>168</v>
      </c>
      <c r="F193" s="5">
        <v>77</v>
      </c>
      <c r="G193" s="6">
        <v>27.281746031746032</v>
      </c>
      <c r="H193" s="9" t="s">
        <v>42</v>
      </c>
      <c r="I193" s="2">
        <v>34</v>
      </c>
      <c r="J193" s="5" t="s">
        <v>44</v>
      </c>
      <c r="K193" s="5" t="s">
        <v>44</v>
      </c>
      <c r="L193" s="5" t="s">
        <v>44</v>
      </c>
      <c r="M193" s="5" t="s">
        <v>44</v>
      </c>
      <c r="N193" s="5">
        <v>67.099999999999994</v>
      </c>
      <c r="O193" s="5">
        <v>38.9</v>
      </c>
      <c r="P193" s="5">
        <v>1.22</v>
      </c>
      <c r="Q193" s="5">
        <v>0.15</v>
      </c>
      <c r="R193" s="5">
        <v>1.07</v>
      </c>
      <c r="S193" s="8">
        <v>0.57973174366616997</v>
      </c>
      <c r="T193" s="5" t="s">
        <v>45</v>
      </c>
      <c r="U193" s="5" t="s">
        <v>55</v>
      </c>
      <c r="V193" s="5" t="s">
        <v>60</v>
      </c>
      <c r="W193" s="5" t="s">
        <v>65</v>
      </c>
      <c r="X193" s="5" t="s">
        <v>68</v>
      </c>
      <c r="Y193" s="5" t="s">
        <v>44</v>
      </c>
      <c r="AB193" s="9" t="s">
        <v>44</v>
      </c>
      <c r="AC193" s="2" t="s">
        <v>46</v>
      </c>
      <c r="AD193" s="2">
        <v>0</v>
      </c>
      <c r="AE193" s="2" t="s">
        <v>52</v>
      </c>
      <c r="AF193" s="2" t="s">
        <v>85</v>
      </c>
      <c r="AG193" s="5">
        <v>1</v>
      </c>
      <c r="AH193" s="5" t="s">
        <v>37</v>
      </c>
      <c r="AI193" s="5" t="s">
        <v>37</v>
      </c>
      <c r="AJ193" s="5">
        <v>33</v>
      </c>
      <c r="AK193" s="5" t="s">
        <v>35</v>
      </c>
    </row>
    <row r="194" spans="1:37" ht="28.8" x14ac:dyDescent="0.3">
      <c r="A194" s="5">
        <v>200</v>
      </c>
      <c r="B194" s="5" t="s">
        <v>39</v>
      </c>
      <c r="C194" s="5">
        <v>45</v>
      </c>
      <c r="D194" s="2">
        <v>17</v>
      </c>
      <c r="E194" s="5">
        <v>180</v>
      </c>
      <c r="F194" s="5">
        <v>80</v>
      </c>
      <c r="G194" s="6">
        <v>24.691358024691358</v>
      </c>
      <c r="H194" s="9" t="s">
        <v>33</v>
      </c>
      <c r="I194" s="2">
        <v>34</v>
      </c>
      <c r="J194" s="5" t="s">
        <v>44</v>
      </c>
      <c r="K194" s="5" t="s">
        <v>44</v>
      </c>
      <c r="L194" s="5" t="s">
        <v>44</v>
      </c>
      <c r="M194" s="5" t="s">
        <v>44</v>
      </c>
      <c r="N194" s="5">
        <v>40.22</v>
      </c>
      <c r="O194" s="5">
        <v>128.28</v>
      </c>
      <c r="P194" s="5">
        <v>0.33</v>
      </c>
      <c r="Q194" s="5">
        <v>0.06</v>
      </c>
      <c r="R194" s="5">
        <v>0.27</v>
      </c>
      <c r="S194" s="8">
        <v>3.1894579811039283</v>
      </c>
      <c r="T194" s="5" t="s">
        <v>45</v>
      </c>
      <c r="U194" s="5" t="s">
        <v>56</v>
      </c>
      <c r="V194" s="5" t="s">
        <v>59</v>
      </c>
      <c r="W194" s="5" t="s">
        <v>65</v>
      </c>
      <c r="X194" s="5" t="s">
        <v>68</v>
      </c>
      <c r="Y194" s="5" t="s">
        <v>44</v>
      </c>
      <c r="AB194" s="9" t="s">
        <v>44</v>
      </c>
      <c r="AC194" s="2" t="s">
        <v>47</v>
      </c>
      <c r="AD194" s="2">
        <v>0</v>
      </c>
      <c r="AE194" s="2" t="s">
        <v>49</v>
      </c>
      <c r="AF194" s="2" t="s">
        <v>85</v>
      </c>
      <c r="AG194" s="5">
        <v>1</v>
      </c>
      <c r="AH194" s="5" t="s">
        <v>36</v>
      </c>
      <c r="AI194" s="5" t="s">
        <v>89</v>
      </c>
      <c r="AJ194" s="5">
        <v>31</v>
      </c>
      <c r="AK194" s="5" t="s">
        <v>35</v>
      </c>
    </row>
    <row r="195" spans="1:37" x14ac:dyDescent="0.3">
      <c r="A195" s="5">
        <v>201</v>
      </c>
      <c r="B195" s="5" t="s">
        <v>39</v>
      </c>
      <c r="C195" s="5">
        <v>36</v>
      </c>
      <c r="D195" s="2">
        <v>10</v>
      </c>
      <c r="E195" s="5">
        <v>160</v>
      </c>
      <c r="F195" s="5">
        <v>63</v>
      </c>
      <c r="G195" s="6">
        <v>24.609375</v>
      </c>
      <c r="H195" s="9" t="s">
        <v>33</v>
      </c>
      <c r="I195" s="2">
        <v>32</v>
      </c>
      <c r="J195" s="5" t="s">
        <v>44</v>
      </c>
      <c r="K195" s="5" t="s">
        <v>44</v>
      </c>
      <c r="L195" s="5" t="s">
        <v>44</v>
      </c>
      <c r="M195" s="5" t="s">
        <v>44</v>
      </c>
      <c r="N195" s="5">
        <v>35.6</v>
      </c>
      <c r="O195" s="5">
        <v>38.6</v>
      </c>
      <c r="P195" s="5">
        <v>0.68</v>
      </c>
      <c r="Q195" s="5">
        <v>0.04</v>
      </c>
      <c r="R195" s="5">
        <v>0.64</v>
      </c>
      <c r="S195" s="8">
        <v>1.0842696629213484</v>
      </c>
      <c r="T195" s="5" t="s">
        <v>44</v>
      </c>
      <c r="Y195" s="5" t="s">
        <v>44</v>
      </c>
      <c r="AB195" s="9" t="s">
        <v>44</v>
      </c>
      <c r="AC195" s="2" t="s">
        <v>46</v>
      </c>
      <c r="AD195" s="2">
        <v>0</v>
      </c>
      <c r="AE195" s="2" t="s">
        <v>52</v>
      </c>
      <c r="AF195" s="2" t="s">
        <v>33</v>
      </c>
      <c r="AG195" s="5">
        <v>0</v>
      </c>
      <c r="AH195" s="5" t="s">
        <v>33</v>
      </c>
      <c r="AI195" s="5" t="s">
        <v>33</v>
      </c>
      <c r="AJ195" s="5">
        <v>7</v>
      </c>
      <c r="AK195" s="5" t="s">
        <v>34</v>
      </c>
    </row>
    <row r="196" spans="1:37" ht="28.8" x14ac:dyDescent="0.3">
      <c r="A196" s="5">
        <v>202</v>
      </c>
      <c r="B196" s="5" t="s">
        <v>39</v>
      </c>
      <c r="C196" s="5">
        <v>34</v>
      </c>
      <c r="D196" s="2">
        <v>4</v>
      </c>
      <c r="E196" s="5">
        <v>175</v>
      </c>
      <c r="F196" s="5">
        <v>75</v>
      </c>
      <c r="G196" s="6">
        <v>24.489795918367346</v>
      </c>
      <c r="H196" s="9" t="s">
        <v>33</v>
      </c>
      <c r="I196" s="2">
        <v>30</v>
      </c>
      <c r="J196" s="5" t="s">
        <v>44</v>
      </c>
      <c r="K196" s="5" t="s">
        <v>44</v>
      </c>
      <c r="L196" s="5" t="s">
        <v>44</v>
      </c>
      <c r="M196" s="5" t="s">
        <v>44</v>
      </c>
      <c r="N196" s="5">
        <v>34.479999999999997</v>
      </c>
      <c r="O196" s="5">
        <v>33.979999999999997</v>
      </c>
      <c r="P196" s="5">
        <v>0.38</v>
      </c>
      <c r="Q196" s="5">
        <v>0.14000000000000001</v>
      </c>
      <c r="R196" s="5">
        <v>0.24</v>
      </c>
      <c r="S196" s="8">
        <v>0.98549883990719256</v>
      </c>
      <c r="T196" s="5" t="s">
        <v>45</v>
      </c>
      <c r="U196" s="5" t="s">
        <v>56</v>
      </c>
      <c r="V196" s="5" t="s">
        <v>61</v>
      </c>
      <c r="W196" s="5" t="s">
        <v>65</v>
      </c>
      <c r="X196" s="5" t="s">
        <v>68</v>
      </c>
      <c r="Y196" s="5" t="s">
        <v>44</v>
      </c>
      <c r="AB196" s="9" t="s">
        <v>44</v>
      </c>
      <c r="AC196" s="2" t="s">
        <v>46</v>
      </c>
      <c r="AD196" s="2">
        <v>0</v>
      </c>
      <c r="AE196" s="2" t="s">
        <v>49</v>
      </c>
      <c r="AF196" s="2" t="s">
        <v>33</v>
      </c>
      <c r="AG196" s="5">
        <v>0</v>
      </c>
      <c r="AH196" s="5" t="s">
        <v>33</v>
      </c>
      <c r="AI196" s="5" t="s">
        <v>33</v>
      </c>
      <c r="AJ196" s="5">
        <v>14</v>
      </c>
      <c r="AK196" s="5" t="s">
        <v>34</v>
      </c>
    </row>
    <row r="197" spans="1:37" x14ac:dyDescent="0.3">
      <c r="A197" s="5">
        <v>203</v>
      </c>
      <c r="B197" s="5" t="s">
        <v>40</v>
      </c>
      <c r="C197" s="5">
        <v>35</v>
      </c>
      <c r="D197" s="2">
        <v>4</v>
      </c>
      <c r="E197" s="5">
        <v>173</v>
      </c>
      <c r="F197" s="5">
        <v>66</v>
      </c>
      <c r="G197" s="6">
        <v>22.052190183434128</v>
      </c>
      <c r="H197" s="9" t="s">
        <v>33</v>
      </c>
      <c r="I197" s="2">
        <v>36</v>
      </c>
      <c r="J197" s="5" t="s">
        <v>44</v>
      </c>
      <c r="K197" s="5" t="s">
        <v>45</v>
      </c>
      <c r="L197" s="5" t="s">
        <v>44</v>
      </c>
      <c r="M197" s="5" t="s">
        <v>45</v>
      </c>
      <c r="N197" s="5">
        <v>19.2</v>
      </c>
      <c r="O197" s="5">
        <v>32.799999999999997</v>
      </c>
      <c r="P197" s="5">
        <v>0.57999999999999996</v>
      </c>
      <c r="Q197" s="5">
        <v>0.21</v>
      </c>
      <c r="R197" s="5">
        <v>0.37</v>
      </c>
      <c r="S197" s="8">
        <v>1.7083333333333333</v>
      </c>
      <c r="T197" s="5" t="s">
        <v>44</v>
      </c>
      <c r="Y197" s="5" t="s">
        <v>44</v>
      </c>
      <c r="AB197" s="9" t="s">
        <v>44</v>
      </c>
      <c r="AC197" s="2" t="s">
        <v>46</v>
      </c>
      <c r="AD197" s="2">
        <v>0</v>
      </c>
      <c r="AE197" s="2" t="s">
        <v>49</v>
      </c>
      <c r="AF197" s="2" t="s">
        <v>33</v>
      </c>
      <c r="AG197" s="5">
        <v>0</v>
      </c>
      <c r="AH197" s="5" t="s">
        <v>33</v>
      </c>
      <c r="AI197" s="5" t="s">
        <v>33</v>
      </c>
      <c r="AJ197" s="5">
        <v>16</v>
      </c>
      <c r="AK197" s="5" t="s">
        <v>34</v>
      </c>
    </row>
    <row r="198" spans="1:37" x14ac:dyDescent="0.3">
      <c r="A198" s="5">
        <v>204</v>
      </c>
      <c r="B198" s="5" t="s">
        <v>39</v>
      </c>
      <c r="C198" s="5">
        <v>21</v>
      </c>
      <c r="D198" s="2">
        <v>1</v>
      </c>
      <c r="E198" s="5">
        <v>167</v>
      </c>
      <c r="F198" s="5">
        <v>73</v>
      </c>
      <c r="G198" s="6">
        <v>26.2</v>
      </c>
      <c r="H198" s="9" t="s">
        <v>42</v>
      </c>
      <c r="I198" s="2">
        <v>34</v>
      </c>
      <c r="J198" s="5" t="s">
        <v>44</v>
      </c>
      <c r="K198" s="5" t="s">
        <v>44</v>
      </c>
      <c r="L198" s="5" t="s">
        <v>44</v>
      </c>
      <c r="M198" s="5" t="s">
        <v>44</v>
      </c>
      <c r="N198" s="5">
        <v>27.2</v>
      </c>
      <c r="O198" s="5">
        <v>38.200000000000003</v>
      </c>
      <c r="P198" s="5">
        <v>0.43</v>
      </c>
      <c r="Q198" s="5">
        <v>0.08</v>
      </c>
      <c r="R198" s="5">
        <v>0.35</v>
      </c>
      <c r="S198" s="8">
        <v>1.4044117647058825</v>
      </c>
      <c r="T198" s="5" t="s">
        <v>44</v>
      </c>
      <c r="Y198" s="5" t="s">
        <v>44</v>
      </c>
      <c r="AB198" s="9" t="s">
        <v>44</v>
      </c>
      <c r="AC198" s="2" t="s">
        <v>46</v>
      </c>
      <c r="AD198" s="2">
        <v>0</v>
      </c>
      <c r="AE198" s="2" t="s">
        <v>52</v>
      </c>
      <c r="AF198" s="2" t="s">
        <v>33</v>
      </c>
      <c r="AG198" s="5">
        <v>0</v>
      </c>
      <c r="AH198" s="5" t="s">
        <v>33</v>
      </c>
      <c r="AI198" s="5" t="s">
        <v>33</v>
      </c>
      <c r="AJ198" s="5">
        <v>10</v>
      </c>
      <c r="AK198" s="5" t="s">
        <v>34</v>
      </c>
    </row>
    <row r="199" spans="1:37" x14ac:dyDescent="0.3">
      <c r="A199" s="5">
        <v>205</v>
      </c>
      <c r="B199" s="5" t="s">
        <v>39</v>
      </c>
      <c r="C199" s="5">
        <v>49</v>
      </c>
      <c r="D199" s="2">
        <v>20</v>
      </c>
      <c r="E199" s="5">
        <v>173</v>
      </c>
      <c r="F199" s="5">
        <v>86</v>
      </c>
      <c r="G199" s="6">
        <v>28.734672057202044</v>
      </c>
      <c r="H199" s="9" t="s">
        <v>42</v>
      </c>
      <c r="I199" s="2">
        <v>36</v>
      </c>
      <c r="J199" s="5" t="s">
        <v>44</v>
      </c>
      <c r="K199" s="5" t="s">
        <v>44</v>
      </c>
      <c r="L199" s="5" t="s">
        <v>44</v>
      </c>
      <c r="M199" s="5" t="s">
        <v>44</v>
      </c>
      <c r="N199" s="5">
        <v>30.57</v>
      </c>
      <c r="O199" s="5">
        <v>115.3</v>
      </c>
      <c r="P199" s="5">
        <v>1</v>
      </c>
      <c r="Q199" s="5">
        <v>0.08</v>
      </c>
      <c r="R199" s="5">
        <v>0.92</v>
      </c>
      <c r="S199" s="8">
        <v>3.7716715734380108</v>
      </c>
      <c r="T199" s="5" t="s">
        <v>44</v>
      </c>
      <c r="Y199" s="5" t="s">
        <v>44</v>
      </c>
      <c r="AB199" s="9" t="s">
        <v>44</v>
      </c>
      <c r="AC199" s="2" t="s">
        <v>47</v>
      </c>
      <c r="AD199" s="2">
        <v>0</v>
      </c>
      <c r="AE199" s="2" t="s">
        <v>52</v>
      </c>
      <c r="AF199" s="2" t="s">
        <v>85</v>
      </c>
      <c r="AG199" s="5">
        <v>1</v>
      </c>
      <c r="AH199" s="5" t="s">
        <v>36</v>
      </c>
      <c r="AI199" s="5" t="s">
        <v>86</v>
      </c>
      <c r="AJ199" s="5">
        <v>27</v>
      </c>
      <c r="AK199" s="5" t="s">
        <v>35</v>
      </c>
    </row>
    <row r="200" spans="1:37" ht="28.8" x14ac:dyDescent="0.3">
      <c r="A200" s="5">
        <v>206</v>
      </c>
      <c r="B200" s="5" t="s">
        <v>39</v>
      </c>
      <c r="C200" s="5">
        <v>51</v>
      </c>
      <c r="D200" s="2">
        <v>24</v>
      </c>
      <c r="E200" s="5">
        <v>177</v>
      </c>
      <c r="F200" s="5">
        <v>83</v>
      </c>
      <c r="G200" s="6">
        <v>26.493025631204315</v>
      </c>
      <c r="H200" s="9" t="s">
        <v>42</v>
      </c>
      <c r="I200" s="2">
        <v>34</v>
      </c>
      <c r="J200" s="5" t="s">
        <v>44</v>
      </c>
      <c r="K200" s="5" t="s">
        <v>44</v>
      </c>
      <c r="L200" s="5" t="s">
        <v>44</v>
      </c>
      <c r="M200" s="5" t="s">
        <v>44</v>
      </c>
      <c r="N200" s="5">
        <v>34.4</v>
      </c>
      <c r="O200" s="5">
        <v>40.1</v>
      </c>
      <c r="P200" s="5">
        <v>1.29</v>
      </c>
      <c r="Q200" s="5">
        <v>0.18</v>
      </c>
      <c r="R200" s="5">
        <v>1.1100000000000001</v>
      </c>
      <c r="S200" s="8">
        <v>1.1656976744186047</v>
      </c>
      <c r="T200" s="5" t="s">
        <v>45</v>
      </c>
      <c r="U200" s="5" t="s">
        <v>56</v>
      </c>
      <c r="V200" s="5" t="s">
        <v>59</v>
      </c>
      <c r="W200" s="5" t="s">
        <v>65</v>
      </c>
      <c r="X200" s="5" t="s">
        <v>68</v>
      </c>
      <c r="Y200" s="5" t="s">
        <v>44</v>
      </c>
      <c r="AB200" s="9" t="s">
        <v>44</v>
      </c>
      <c r="AC200" s="2" t="s">
        <v>46</v>
      </c>
      <c r="AD200" s="2">
        <v>0</v>
      </c>
      <c r="AE200" s="2" t="s">
        <v>49</v>
      </c>
      <c r="AF200" s="2" t="s">
        <v>85</v>
      </c>
      <c r="AG200" s="5">
        <v>1</v>
      </c>
      <c r="AH200" s="5" t="s">
        <v>87</v>
      </c>
      <c r="AI200" s="5" t="s">
        <v>87</v>
      </c>
      <c r="AJ200" s="5">
        <v>31</v>
      </c>
      <c r="AK200" s="5" t="s">
        <v>35</v>
      </c>
    </row>
    <row r="201" spans="1:37" x14ac:dyDescent="0.3">
      <c r="A201" s="5">
        <v>207</v>
      </c>
      <c r="B201" s="5" t="s">
        <v>39</v>
      </c>
      <c r="C201" s="5">
        <v>42</v>
      </c>
      <c r="D201" s="2">
        <v>14</v>
      </c>
      <c r="E201" s="5">
        <v>165</v>
      </c>
      <c r="F201" s="5">
        <v>69</v>
      </c>
      <c r="G201" s="6">
        <v>25.344352617079888</v>
      </c>
      <c r="H201" s="9" t="s">
        <v>42</v>
      </c>
      <c r="I201" s="2">
        <v>34</v>
      </c>
      <c r="J201" s="5" t="s">
        <v>44</v>
      </c>
      <c r="K201" s="5" t="s">
        <v>44</v>
      </c>
      <c r="L201" s="5" t="s">
        <v>44</v>
      </c>
      <c r="M201" s="5" t="s">
        <v>44</v>
      </c>
      <c r="N201" s="5">
        <v>19.7</v>
      </c>
      <c r="O201" s="5">
        <v>98.46</v>
      </c>
      <c r="P201" s="5">
        <v>0.82</v>
      </c>
      <c r="Q201" s="5">
        <v>0.08</v>
      </c>
      <c r="R201" s="5">
        <v>0.74</v>
      </c>
      <c r="S201" s="8">
        <v>4.9979695431472084</v>
      </c>
      <c r="T201" s="5" t="s">
        <v>44</v>
      </c>
      <c r="Y201" s="5" t="s">
        <v>44</v>
      </c>
      <c r="AB201" s="9" t="s">
        <v>44</v>
      </c>
      <c r="AC201" s="2" t="s">
        <v>46</v>
      </c>
      <c r="AD201" s="2">
        <v>0</v>
      </c>
      <c r="AE201" s="2" t="s">
        <v>52</v>
      </c>
      <c r="AF201" s="2" t="s">
        <v>85</v>
      </c>
      <c r="AG201" s="5">
        <v>1</v>
      </c>
      <c r="AH201" s="5" t="s">
        <v>36</v>
      </c>
      <c r="AI201" s="5" t="s">
        <v>86</v>
      </c>
      <c r="AJ201" s="5">
        <v>18</v>
      </c>
      <c r="AK201" s="5" t="s">
        <v>34</v>
      </c>
    </row>
    <row r="202" spans="1:37" x14ac:dyDescent="0.3">
      <c r="A202" s="5">
        <v>208</v>
      </c>
      <c r="B202" s="5" t="s">
        <v>39</v>
      </c>
      <c r="C202" s="5">
        <v>44</v>
      </c>
      <c r="D202" s="2">
        <v>15</v>
      </c>
      <c r="E202" s="5">
        <v>165</v>
      </c>
      <c r="F202" s="5">
        <v>62</v>
      </c>
      <c r="G202" s="6">
        <v>22.773186409550046</v>
      </c>
      <c r="H202" s="9" t="s">
        <v>33</v>
      </c>
      <c r="I202" s="2">
        <v>32</v>
      </c>
      <c r="J202" s="5" t="s">
        <v>44</v>
      </c>
      <c r="K202" s="5" t="s">
        <v>44</v>
      </c>
      <c r="L202" s="5" t="s">
        <v>44</v>
      </c>
      <c r="M202" s="5" t="s">
        <v>44</v>
      </c>
      <c r="N202" s="5">
        <v>22.96</v>
      </c>
      <c r="O202" s="5">
        <v>106.22</v>
      </c>
      <c r="P202" s="5">
        <v>0.49</v>
      </c>
      <c r="Q202" s="5">
        <v>0.12</v>
      </c>
      <c r="R202" s="5">
        <v>0.37</v>
      </c>
      <c r="S202" s="8">
        <v>4.6263066202090588</v>
      </c>
      <c r="T202" s="5" t="s">
        <v>44</v>
      </c>
      <c r="Y202" s="5" t="s">
        <v>44</v>
      </c>
      <c r="AB202" s="9" t="s">
        <v>44</v>
      </c>
      <c r="AC202" s="2" t="s">
        <v>47</v>
      </c>
      <c r="AD202" s="2">
        <v>0</v>
      </c>
      <c r="AE202" s="2" t="s">
        <v>52</v>
      </c>
      <c r="AF202" s="2" t="s">
        <v>85</v>
      </c>
      <c r="AG202" s="5">
        <v>1</v>
      </c>
      <c r="AH202" s="5" t="s">
        <v>36</v>
      </c>
      <c r="AI202" s="5" t="s">
        <v>86</v>
      </c>
      <c r="AJ202" s="5">
        <v>14</v>
      </c>
      <c r="AK202" s="5" t="s">
        <v>34</v>
      </c>
    </row>
    <row r="203" spans="1:37" x14ac:dyDescent="0.3">
      <c r="A203" s="5">
        <v>209</v>
      </c>
      <c r="B203" s="5" t="s">
        <v>39</v>
      </c>
      <c r="C203" s="5">
        <v>35</v>
      </c>
      <c r="D203" s="2">
        <v>12</v>
      </c>
      <c r="E203" s="5">
        <v>168</v>
      </c>
      <c r="F203" s="5">
        <v>66</v>
      </c>
      <c r="G203" s="6">
        <v>23.3843537414966</v>
      </c>
      <c r="H203" s="9" t="s">
        <v>33</v>
      </c>
      <c r="I203" s="2">
        <v>32</v>
      </c>
      <c r="J203" s="5" t="s">
        <v>44</v>
      </c>
      <c r="K203" s="5" t="s">
        <v>44</v>
      </c>
      <c r="L203" s="5" t="s">
        <v>44</v>
      </c>
      <c r="M203" s="5" t="s">
        <v>44</v>
      </c>
      <c r="N203" s="5">
        <v>62.25</v>
      </c>
      <c r="O203" s="5">
        <v>152.83000000000001</v>
      </c>
      <c r="P203" s="5">
        <v>0.9</v>
      </c>
      <c r="Q203" s="5">
        <v>0.04</v>
      </c>
      <c r="R203" s="5">
        <v>0.86</v>
      </c>
      <c r="S203" s="8">
        <v>2.4551004016064257</v>
      </c>
      <c r="T203" s="5" t="s">
        <v>44</v>
      </c>
      <c r="Y203" s="5" t="s">
        <v>44</v>
      </c>
      <c r="AB203" s="9" t="s">
        <v>44</v>
      </c>
      <c r="AC203" s="2" t="s">
        <v>46</v>
      </c>
      <c r="AD203" s="2">
        <v>0</v>
      </c>
      <c r="AE203" s="2" t="s">
        <v>52</v>
      </c>
      <c r="AF203" s="2" t="s">
        <v>85</v>
      </c>
      <c r="AG203" s="5">
        <v>1</v>
      </c>
      <c r="AH203" s="5" t="s">
        <v>36</v>
      </c>
      <c r="AI203" s="5" t="s">
        <v>86</v>
      </c>
      <c r="AJ203" s="5">
        <v>23</v>
      </c>
      <c r="AK203" s="5" t="s">
        <v>35</v>
      </c>
    </row>
    <row r="204" spans="1:37" x14ac:dyDescent="0.3">
      <c r="A204" s="5">
        <v>210</v>
      </c>
      <c r="B204" s="5" t="s">
        <v>39</v>
      </c>
      <c r="C204" s="5">
        <v>28</v>
      </c>
      <c r="D204" s="2">
        <v>3</v>
      </c>
      <c r="E204" s="5">
        <v>163</v>
      </c>
      <c r="F204" s="5">
        <v>65</v>
      </c>
      <c r="G204" s="6">
        <v>24.464601603372348</v>
      </c>
      <c r="H204" s="9" t="s">
        <v>33</v>
      </c>
      <c r="I204" s="2">
        <v>32</v>
      </c>
      <c r="J204" s="5" t="s">
        <v>44</v>
      </c>
      <c r="K204" s="5" t="s">
        <v>44</v>
      </c>
      <c r="L204" s="5" t="s">
        <v>44</v>
      </c>
      <c r="M204" s="5" t="s">
        <v>44</v>
      </c>
      <c r="N204" s="5">
        <v>36</v>
      </c>
      <c r="O204" s="5">
        <v>35</v>
      </c>
      <c r="P204" s="5">
        <v>0.28000000000000003</v>
      </c>
      <c r="Q204" s="5">
        <v>0.01</v>
      </c>
      <c r="R204" s="5">
        <v>0.27</v>
      </c>
      <c r="S204" s="8">
        <v>0.97222222222222221</v>
      </c>
      <c r="T204" s="5" t="s">
        <v>44</v>
      </c>
      <c r="Y204" s="5" t="s">
        <v>44</v>
      </c>
      <c r="AB204" s="9" t="s">
        <v>44</v>
      </c>
      <c r="AC204" s="2" t="s">
        <v>46</v>
      </c>
      <c r="AD204" s="2">
        <v>0</v>
      </c>
      <c r="AE204" s="2" t="s">
        <v>52</v>
      </c>
      <c r="AF204" s="2" t="s">
        <v>33</v>
      </c>
      <c r="AG204" s="5">
        <v>0</v>
      </c>
      <c r="AH204" s="5" t="s">
        <v>33</v>
      </c>
      <c r="AI204" s="5" t="s">
        <v>33</v>
      </c>
      <c r="AJ204" s="5">
        <v>6</v>
      </c>
      <c r="AK204" s="5" t="s">
        <v>34</v>
      </c>
    </row>
    <row r="205" spans="1:37" x14ac:dyDescent="0.3">
      <c r="A205" s="5">
        <v>211</v>
      </c>
      <c r="B205" s="5" t="s">
        <v>39</v>
      </c>
      <c r="C205" s="5">
        <v>42</v>
      </c>
      <c r="D205" s="2">
        <v>25</v>
      </c>
      <c r="E205" s="5">
        <v>165</v>
      </c>
      <c r="F205" s="5">
        <v>82</v>
      </c>
      <c r="G205" s="6">
        <v>30.119375573921026</v>
      </c>
      <c r="H205" s="9" t="s">
        <v>41</v>
      </c>
      <c r="I205" s="2">
        <v>36</v>
      </c>
      <c r="J205" s="5" t="s">
        <v>44</v>
      </c>
      <c r="K205" s="5" t="s">
        <v>44</v>
      </c>
      <c r="L205" s="5" t="s">
        <v>44</v>
      </c>
      <c r="M205" s="5" t="s">
        <v>44</v>
      </c>
      <c r="N205" s="5">
        <v>45.5</v>
      </c>
      <c r="O205" s="5">
        <v>35.200000000000003</v>
      </c>
      <c r="P205" s="5">
        <v>0.49</v>
      </c>
      <c r="Q205" s="5">
        <v>0.08</v>
      </c>
      <c r="R205" s="5">
        <v>0.41</v>
      </c>
      <c r="S205" s="8">
        <v>0.77362637362637365</v>
      </c>
      <c r="T205" s="5" t="s">
        <v>44</v>
      </c>
      <c r="Y205" s="5" t="s">
        <v>44</v>
      </c>
      <c r="AB205" s="9" t="s">
        <v>44</v>
      </c>
      <c r="AC205" s="2" t="s">
        <v>47</v>
      </c>
      <c r="AD205" s="2">
        <v>0</v>
      </c>
      <c r="AE205" s="2" t="s">
        <v>48</v>
      </c>
      <c r="AF205" s="2" t="s">
        <v>33</v>
      </c>
      <c r="AG205" s="5">
        <v>0</v>
      </c>
      <c r="AH205" s="5" t="s">
        <v>33</v>
      </c>
      <c r="AI205" s="5" t="s">
        <v>33</v>
      </c>
      <c r="AJ205" s="5">
        <v>19</v>
      </c>
      <c r="AK205" s="5" t="s">
        <v>34</v>
      </c>
    </row>
    <row r="206" spans="1:37" x14ac:dyDescent="0.3">
      <c r="A206" s="5">
        <v>212</v>
      </c>
      <c r="B206" s="5" t="s">
        <v>39</v>
      </c>
      <c r="C206" s="5">
        <v>41</v>
      </c>
      <c r="D206" s="2">
        <v>15</v>
      </c>
      <c r="E206" s="5">
        <v>183</v>
      </c>
      <c r="F206" s="5">
        <v>72</v>
      </c>
      <c r="G206" s="6">
        <v>21.49959688255845</v>
      </c>
      <c r="H206" s="9" t="s">
        <v>33</v>
      </c>
      <c r="I206" s="2">
        <v>32</v>
      </c>
      <c r="J206" s="5" t="s">
        <v>44</v>
      </c>
      <c r="K206" s="5" t="s">
        <v>44</v>
      </c>
      <c r="L206" s="5" t="s">
        <v>44</v>
      </c>
      <c r="M206" s="5" t="s">
        <v>45</v>
      </c>
      <c r="N206" s="5">
        <v>29.63</v>
      </c>
      <c r="O206" s="5">
        <v>26.88</v>
      </c>
      <c r="P206" s="5">
        <v>0.53</v>
      </c>
      <c r="Q206" s="5">
        <v>0.09</v>
      </c>
      <c r="R206" s="5">
        <v>0.44</v>
      </c>
      <c r="S206" s="8">
        <v>0.90718866014174826</v>
      </c>
      <c r="T206" s="5" t="s">
        <v>44</v>
      </c>
      <c r="Y206" s="5" t="s">
        <v>44</v>
      </c>
      <c r="AB206" s="9" t="s">
        <v>44</v>
      </c>
      <c r="AC206" s="2" t="s">
        <v>47</v>
      </c>
      <c r="AD206" s="2">
        <v>0</v>
      </c>
      <c r="AE206" s="2" t="s">
        <v>49</v>
      </c>
      <c r="AF206" s="2" t="s">
        <v>33</v>
      </c>
      <c r="AG206" s="5">
        <v>0</v>
      </c>
      <c r="AH206" s="5" t="s">
        <v>33</v>
      </c>
      <c r="AI206" s="5" t="s">
        <v>33</v>
      </c>
      <c r="AJ206" s="5">
        <v>6</v>
      </c>
      <c r="AK206" s="5" t="s">
        <v>34</v>
      </c>
    </row>
    <row r="207" spans="1:37" ht="28.8" x14ac:dyDescent="0.3">
      <c r="A207" s="5">
        <v>213</v>
      </c>
      <c r="B207" s="5" t="s">
        <v>39</v>
      </c>
      <c r="C207" s="5">
        <v>41</v>
      </c>
      <c r="D207" s="2">
        <v>16</v>
      </c>
      <c r="E207" s="5">
        <v>157</v>
      </c>
      <c r="F207" s="5">
        <v>96</v>
      </c>
      <c r="G207" s="6">
        <v>38.946813258144346</v>
      </c>
      <c r="H207" s="9" t="s">
        <v>41</v>
      </c>
      <c r="I207" s="2">
        <v>36</v>
      </c>
      <c r="J207" s="5" t="s">
        <v>44</v>
      </c>
      <c r="K207" s="5" t="s">
        <v>44</v>
      </c>
      <c r="L207" s="5" t="s">
        <v>44</v>
      </c>
      <c r="M207" s="5" t="s">
        <v>44</v>
      </c>
      <c r="N207" s="5">
        <v>41.45</v>
      </c>
      <c r="O207" s="5">
        <v>53.01</v>
      </c>
      <c r="P207" s="5">
        <v>0.37</v>
      </c>
      <c r="Q207" s="5">
        <v>0.09</v>
      </c>
      <c r="R207" s="5">
        <v>0.28000000000000003</v>
      </c>
      <c r="S207" s="8">
        <v>1.2788902291917972</v>
      </c>
      <c r="T207" s="5" t="s">
        <v>45</v>
      </c>
      <c r="U207" s="5" t="s">
        <v>57</v>
      </c>
      <c r="V207" s="5" t="s">
        <v>61</v>
      </c>
      <c r="W207" s="5" t="s">
        <v>65</v>
      </c>
      <c r="X207" s="5" t="s">
        <v>72</v>
      </c>
      <c r="Y207" s="5" t="s">
        <v>44</v>
      </c>
      <c r="AB207" s="9" t="s">
        <v>44</v>
      </c>
      <c r="AC207" s="2" t="s">
        <v>46</v>
      </c>
      <c r="AD207" s="2">
        <v>0</v>
      </c>
      <c r="AE207" s="2" t="s">
        <v>52</v>
      </c>
      <c r="AF207" s="2" t="s">
        <v>85</v>
      </c>
      <c r="AG207" s="5">
        <v>1</v>
      </c>
      <c r="AH207" s="5" t="s">
        <v>88</v>
      </c>
      <c r="AI207" s="5" t="s">
        <v>88</v>
      </c>
      <c r="AJ207" s="5">
        <v>36</v>
      </c>
      <c r="AK207" s="5" t="s">
        <v>35</v>
      </c>
    </row>
    <row r="208" spans="1:37" x14ac:dyDescent="0.3">
      <c r="A208" s="5">
        <v>214</v>
      </c>
      <c r="B208" s="5" t="s">
        <v>39</v>
      </c>
      <c r="C208" s="5">
        <v>45</v>
      </c>
      <c r="D208" s="2">
        <v>18</v>
      </c>
      <c r="E208" s="5">
        <v>160</v>
      </c>
      <c r="F208" s="5">
        <v>64</v>
      </c>
      <c r="G208" s="6">
        <v>25</v>
      </c>
      <c r="H208" s="9" t="s">
        <v>42</v>
      </c>
      <c r="I208" s="2">
        <v>32</v>
      </c>
      <c r="J208" s="5" t="s">
        <v>44</v>
      </c>
      <c r="K208" s="5" t="s">
        <v>44</v>
      </c>
      <c r="L208" s="5" t="s">
        <v>44</v>
      </c>
      <c r="M208" s="5" t="s">
        <v>44</v>
      </c>
      <c r="N208" s="5">
        <v>28.16</v>
      </c>
      <c r="O208" s="5">
        <v>92.62</v>
      </c>
      <c r="P208" s="5">
        <v>0.49</v>
      </c>
      <c r="Q208" s="5">
        <v>0.1</v>
      </c>
      <c r="R208" s="5">
        <v>0.39</v>
      </c>
      <c r="S208" s="8">
        <v>3.2890625</v>
      </c>
      <c r="T208" s="5" t="s">
        <v>44</v>
      </c>
      <c r="Y208" s="5" t="s">
        <v>44</v>
      </c>
      <c r="AB208" s="9" t="s">
        <v>44</v>
      </c>
      <c r="AC208" s="2" t="s">
        <v>47</v>
      </c>
      <c r="AD208" s="2">
        <v>0</v>
      </c>
      <c r="AE208" s="2" t="s">
        <v>52</v>
      </c>
      <c r="AF208" s="2" t="s">
        <v>85</v>
      </c>
      <c r="AG208" s="5">
        <v>1</v>
      </c>
      <c r="AH208" s="5" t="s">
        <v>36</v>
      </c>
      <c r="AI208" s="5" t="s">
        <v>86</v>
      </c>
      <c r="AJ208" s="5">
        <v>18</v>
      </c>
      <c r="AK208" s="5" t="s">
        <v>34</v>
      </c>
    </row>
    <row r="209" spans="1:37" x14ac:dyDescent="0.3">
      <c r="A209" s="5">
        <v>215</v>
      </c>
      <c r="B209" s="5" t="s">
        <v>39</v>
      </c>
      <c r="C209" s="5">
        <v>37</v>
      </c>
      <c r="D209" s="2">
        <v>15</v>
      </c>
      <c r="E209" s="5">
        <v>183</v>
      </c>
      <c r="F209" s="5">
        <v>71</v>
      </c>
      <c r="G209" s="6">
        <v>21.200991370300695</v>
      </c>
      <c r="H209" s="9" t="s">
        <v>33</v>
      </c>
      <c r="I209" s="2">
        <v>36</v>
      </c>
      <c r="J209" s="5" t="s">
        <v>44</v>
      </c>
      <c r="K209" s="5" t="s">
        <v>44</v>
      </c>
      <c r="L209" s="5" t="s">
        <v>44</v>
      </c>
      <c r="M209" s="5" t="s">
        <v>44</v>
      </c>
      <c r="N209" s="5">
        <v>23.7</v>
      </c>
      <c r="O209" s="5">
        <v>36.200000000000003</v>
      </c>
      <c r="P209" s="5">
        <v>1.07</v>
      </c>
      <c r="Q209" s="5">
        <v>0.33</v>
      </c>
      <c r="R209" s="5">
        <v>0.74</v>
      </c>
      <c r="S209" s="8">
        <v>1.527426160337553</v>
      </c>
      <c r="T209" s="5" t="s">
        <v>44</v>
      </c>
      <c r="Y209" s="5" t="s">
        <v>44</v>
      </c>
      <c r="AB209" s="9" t="s">
        <v>44</v>
      </c>
      <c r="AC209" s="2" t="s">
        <v>47</v>
      </c>
      <c r="AD209" s="2">
        <v>0</v>
      </c>
      <c r="AE209" s="2" t="s">
        <v>52</v>
      </c>
      <c r="AF209" s="2" t="s">
        <v>85</v>
      </c>
      <c r="AG209" s="5">
        <v>1</v>
      </c>
      <c r="AH209" s="5" t="s">
        <v>87</v>
      </c>
      <c r="AI209" s="5" t="s">
        <v>87</v>
      </c>
      <c r="AJ209" s="5">
        <v>7</v>
      </c>
      <c r="AK209" s="5" t="s">
        <v>34</v>
      </c>
    </row>
    <row r="210" spans="1:37" x14ac:dyDescent="0.3">
      <c r="A210" s="5">
        <v>216</v>
      </c>
      <c r="B210" s="5" t="s">
        <v>39</v>
      </c>
      <c r="C210" s="5">
        <v>23</v>
      </c>
      <c r="D210" s="2">
        <v>1</v>
      </c>
      <c r="E210" s="5">
        <v>175</v>
      </c>
      <c r="F210" s="5">
        <v>65</v>
      </c>
      <c r="G210" s="6">
        <v>21.224489795918366</v>
      </c>
      <c r="H210" s="9" t="s">
        <v>33</v>
      </c>
      <c r="I210" s="2">
        <v>32</v>
      </c>
      <c r="J210" s="5" t="s">
        <v>44</v>
      </c>
      <c r="K210" s="5" t="s">
        <v>44</v>
      </c>
      <c r="L210" s="5" t="s">
        <v>44</v>
      </c>
      <c r="M210" s="5" t="s">
        <v>44</v>
      </c>
      <c r="N210" s="5">
        <v>25.47</v>
      </c>
      <c r="O210" s="5">
        <v>33.06</v>
      </c>
      <c r="P210" s="5">
        <v>0.88</v>
      </c>
      <c r="Q210" s="5">
        <v>0.13</v>
      </c>
      <c r="R210" s="5">
        <v>0.75</v>
      </c>
      <c r="S210" s="8">
        <v>1.2979976442873971</v>
      </c>
      <c r="T210" s="5" t="s">
        <v>44</v>
      </c>
      <c r="Y210" s="5" t="s">
        <v>44</v>
      </c>
      <c r="AB210" s="9" t="s">
        <v>44</v>
      </c>
      <c r="AC210" s="2" t="s">
        <v>46</v>
      </c>
      <c r="AD210" s="2">
        <v>0</v>
      </c>
      <c r="AE210" s="2" t="s">
        <v>52</v>
      </c>
      <c r="AF210" s="2" t="s">
        <v>33</v>
      </c>
      <c r="AG210" s="5">
        <v>0</v>
      </c>
      <c r="AH210" s="5" t="s">
        <v>33</v>
      </c>
      <c r="AI210" s="5" t="s">
        <v>33</v>
      </c>
      <c r="AJ210" s="5">
        <v>5</v>
      </c>
      <c r="AK210" s="5" t="s">
        <v>34</v>
      </c>
    </row>
    <row r="211" spans="1:37" x14ac:dyDescent="0.3">
      <c r="A211" s="5">
        <v>217</v>
      </c>
      <c r="B211" s="5" t="s">
        <v>39</v>
      </c>
      <c r="C211" s="5">
        <v>34</v>
      </c>
      <c r="D211" s="2">
        <v>13</v>
      </c>
      <c r="E211" s="5">
        <v>165</v>
      </c>
      <c r="F211" s="5">
        <v>84</v>
      </c>
      <c r="G211" s="6">
        <v>30.853994490358129</v>
      </c>
      <c r="H211" s="9" t="s">
        <v>41</v>
      </c>
      <c r="I211" s="2">
        <v>36</v>
      </c>
      <c r="J211" s="5" t="s">
        <v>44</v>
      </c>
      <c r="K211" s="5" t="s">
        <v>44</v>
      </c>
      <c r="L211" s="5" t="s">
        <v>44</v>
      </c>
      <c r="M211" s="5" t="s">
        <v>45</v>
      </c>
      <c r="N211" s="5">
        <v>60.5</v>
      </c>
      <c r="O211" s="5">
        <v>39.6</v>
      </c>
      <c r="P211" s="5">
        <v>0.86</v>
      </c>
      <c r="Q211" s="5">
        <v>0.01</v>
      </c>
      <c r="R211" s="5">
        <v>0.85</v>
      </c>
      <c r="S211" s="8">
        <v>0.65454545454545454</v>
      </c>
      <c r="T211" s="5" t="s">
        <v>44</v>
      </c>
      <c r="Y211" s="5" t="s">
        <v>44</v>
      </c>
      <c r="AB211" s="9" t="s">
        <v>44</v>
      </c>
      <c r="AC211" s="2" t="s">
        <v>47</v>
      </c>
      <c r="AD211" s="2">
        <v>0</v>
      </c>
      <c r="AE211" s="2" t="s">
        <v>52</v>
      </c>
      <c r="AF211" s="2" t="s">
        <v>85</v>
      </c>
      <c r="AG211" s="5">
        <v>1</v>
      </c>
      <c r="AH211" s="5" t="s">
        <v>37</v>
      </c>
      <c r="AI211" s="5" t="s">
        <v>37</v>
      </c>
      <c r="AJ211" s="5">
        <v>26</v>
      </c>
      <c r="AK211" s="5" t="s">
        <v>35</v>
      </c>
    </row>
    <row r="212" spans="1:37" x14ac:dyDescent="0.3">
      <c r="A212" s="5">
        <v>218</v>
      </c>
      <c r="B212" s="5" t="s">
        <v>40</v>
      </c>
      <c r="C212" s="5">
        <v>26</v>
      </c>
      <c r="D212" s="2">
        <v>6</v>
      </c>
      <c r="E212" s="5">
        <v>157</v>
      </c>
      <c r="F212" s="5">
        <v>47</v>
      </c>
      <c r="G212" s="6">
        <v>19.067710657633167</v>
      </c>
      <c r="H212" s="9" t="s">
        <v>33</v>
      </c>
      <c r="I212" s="2">
        <v>28</v>
      </c>
      <c r="J212" s="5" t="s">
        <v>44</v>
      </c>
      <c r="K212" s="5" t="s">
        <v>44</v>
      </c>
      <c r="L212" s="5" t="s">
        <v>44</v>
      </c>
      <c r="M212" s="5" t="s">
        <v>44</v>
      </c>
      <c r="N212" s="5">
        <v>148</v>
      </c>
      <c r="O212" s="5">
        <v>39.799999999999997</v>
      </c>
      <c r="P212" s="5">
        <v>0.27</v>
      </c>
      <c r="Q212" s="5">
        <v>0.1</v>
      </c>
      <c r="R212" s="5">
        <v>0.17</v>
      </c>
      <c r="S212" s="8">
        <v>0.26891891891891889</v>
      </c>
      <c r="T212" s="5" t="s">
        <v>44</v>
      </c>
      <c r="Y212" s="5" t="s">
        <v>44</v>
      </c>
      <c r="AB212" s="9" t="s">
        <v>44</v>
      </c>
      <c r="AC212" s="2" t="s">
        <v>47</v>
      </c>
      <c r="AD212" s="2">
        <v>0</v>
      </c>
      <c r="AE212" s="2" t="s">
        <v>52</v>
      </c>
      <c r="AF212" s="2" t="s">
        <v>85</v>
      </c>
      <c r="AG212" s="5">
        <v>1</v>
      </c>
      <c r="AH212" s="5" t="s">
        <v>37</v>
      </c>
      <c r="AI212" s="5" t="s">
        <v>37</v>
      </c>
      <c r="AJ212" s="5">
        <v>13</v>
      </c>
      <c r="AK212" s="5" t="s">
        <v>34</v>
      </c>
    </row>
    <row r="213" spans="1:37" x14ac:dyDescent="0.3">
      <c r="A213" s="5">
        <v>219</v>
      </c>
      <c r="B213" s="5" t="s">
        <v>40</v>
      </c>
      <c r="C213" s="5">
        <v>23</v>
      </c>
      <c r="D213" s="2">
        <v>3</v>
      </c>
      <c r="E213" s="5">
        <v>148</v>
      </c>
      <c r="F213" s="5">
        <v>35</v>
      </c>
      <c r="G213" s="6">
        <v>15.978816654492331</v>
      </c>
      <c r="H213" s="9" t="s">
        <v>43</v>
      </c>
      <c r="I213" s="2">
        <v>28</v>
      </c>
      <c r="J213" s="5" t="s">
        <v>44</v>
      </c>
      <c r="K213" s="5" t="s">
        <v>44</v>
      </c>
      <c r="L213" s="5" t="s">
        <v>44</v>
      </c>
      <c r="M213" s="5" t="s">
        <v>44</v>
      </c>
      <c r="N213" s="5">
        <v>11.88</v>
      </c>
      <c r="O213" s="5">
        <v>27.5</v>
      </c>
      <c r="P213" s="5">
        <v>0.21</v>
      </c>
      <c r="Q213" s="5">
        <v>0.05</v>
      </c>
      <c r="R213" s="5">
        <v>0.16</v>
      </c>
      <c r="S213" s="8">
        <v>2.3148148148148149</v>
      </c>
      <c r="T213" s="5" t="s">
        <v>44</v>
      </c>
      <c r="Y213" s="5" t="s">
        <v>44</v>
      </c>
      <c r="AB213" s="9" t="s">
        <v>44</v>
      </c>
      <c r="AC213" s="2" t="s">
        <v>46</v>
      </c>
      <c r="AD213" s="2">
        <v>0</v>
      </c>
      <c r="AE213" s="2" t="s">
        <v>48</v>
      </c>
      <c r="AF213" s="2" t="s">
        <v>33</v>
      </c>
      <c r="AG213" s="5">
        <v>0</v>
      </c>
      <c r="AH213" s="5" t="s">
        <v>33</v>
      </c>
      <c r="AI213" s="5" t="s">
        <v>33</v>
      </c>
      <c r="AJ213" s="5">
        <v>2</v>
      </c>
      <c r="AK213" s="5" t="s">
        <v>34</v>
      </c>
    </row>
    <row r="214" spans="1:37" x14ac:dyDescent="0.3">
      <c r="A214" s="5">
        <v>220</v>
      </c>
      <c r="B214" s="5" t="s">
        <v>39</v>
      </c>
      <c r="C214" s="5">
        <v>47</v>
      </c>
      <c r="D214" s="2">
        <v>22</v>
      </c>
      <c r="E214" s="5">
        <v>164</v>
      </c>
      <c r="F214" s="5">
        <v>66</v>
      </c>
      <c r="G214" s="6">
        <v>24.538964901844139</v>
      </c>
      <c r="H214" s="9" t="s">
        <v>33</v>
      </c>
      <c r="I214" s="2">
        <v>32</v>
      </c>
      <c r="J214" s="5" t="s">
        <v>44</v>
      </c>
      <c r="K214" s="5" t="s">
        <v>44</v>
      </c>
      <c r="L214" s="5" t="s">
        <v>44</v>
      </c>
      <c r="M214" s="5" t="s">
        <v>44</v>
      </c>
      <c r="N214" s="5">
        <v>40.6</v>
      </c>
      <c r="O214" s="5">
        <v>39.630000000000003</v>
      </c>
      <c r="P214" s="5">
        <v>0.49</v>
      </c>
      <c r="Q214" s="5">
        <v>7.0000000000000007E-2</v>
      </c>
      <c r="R214" s="5">
        <v>0.42</v>
      </c>
      <c r="S214" s="8">
        <v>0.97610837438423648</v>
      </c>
      <c r="T214" s="5" t="s">
        <v>44</v>
      </c>
      <c r="Y214" s="5" t="s">
        <v>44</v>
      </c>
      <c r="AB214" s="9" t="s">
        <v>44</v>
      </c>
      <c r="AC214" s="2" t="s">
        <v>46</v>
      </c>
      <c r="AD214" s="2">
        <v>0</v>
      </c>
      <c r="AE214" s="2" t="s">
        <v>49</v>
      </c>
      <c r="AF214" s="2" t="s">
        <v>33</v>
      </c>
      <c r="AG214" s="5">
        <v>0</v>
      </c>
      <c r="AH214" s="5" t="s">
        <v>33</v>
      </c>
      <c r="AI214" s="5" t="s">
        <v>33</v>
      </c>
      <c r="AJ214" s="5">
        <v>12</v>
      </c>
      <c r="AK214" s="5" t="s">
        <v>34</v>
      </c>
    </row>
    <row r="215" spans="1:37" x14ac:dyDescent="0.3">
      <c r="A215" s="5">
        <v>221</v>
      </c>
      <c r="B215" s="5" t="s">
        <v>39</v>
      </c>
      <c r="C215" s="5">
        <v>24</v>
      </c>
      <c r="D215" s="2">
        <v>3</v>
      </c>
      <c r="E215" s="5">
        <v>156</v>
      </c>
      <c r="F215" s="5">
        <v>62</v>
      </c>
      <c r="G215" s="6">
        <v>25.476660092044707</v>
      </c>
      <c r="H215" s="9" t="s">
        <v>42</v>
      </c>
      <c r="I215" s="2">
        <v>30</v>
      </c>
      <c r="J215" s="5" t="s">
        <v>44</v>
      </c>
      <c r="K215" s="5" t="s">
        <v>44</v>
      </c>
      <c r="L215" s="5" t="s">
        <v>44</v>
      </c>
      <c r="M215" s="5" t="s">
        <v>44</v>
      </c>
      <c r="N215" s="5">
        <v>26.6</v>
      </c>
      <c r="O215" s="5">
        <v>32.1</v>
      </c>
      <c r="P215" s="5">
        <v>0.35</v>
      </c>
      <c r="Q215" s="5">
        <v>0.12</v>
      </c>
      <c r="R215" s="5">
        <v>0.23</v>
      </c>
      <c r="S215" s="8">
        <v>1.2067669172932332</v>
      </c>
      <c r="T215" s="5" t="s">
        <v>44</v>
      </c>
      <c r="Y215" s="5" t="s">
        <v>44</v>
      </c>
      <c r="AB215" s="9" t="s">
        <v>44</v>
      </c>
      <c r="AC215" s="2" t="s">
        <v>46</v>
      </c>
      <c r="AD215" s="2">
        <v>0</v>
      </c>
      <c r="AE215" s="2" t="s">
        <v>52</v>
      </c>
      <c r="AF215" s="2" t="s">
        <v>33</v>
      </c>
      <c r="AG215" s="5">
        <v>0</v>
      </c>
      <c r="AH215" s="5" t="s">
        <v>33</v>
      </c>
      <c r="AI215" s="5" t="s">
        <v>33</v>
      </c>
      <c r="AJ215" s="5">
        <v>10</v>
      </c>
      <c r="AK215" s="5" t="s">
        <v>34</v>
      </c>
    </row>
    <row r="216" spans="1:37" x14ac:dyDescent="0.3">
      <c r="A216" s="5">
        <v>222</v>
      </c>
      <c r="B216" s="5" t="s">
        <v>39</v>
      </c>
      <c r="C216" s="5">
        <v>33</v>
      </c>
      <c r="D216" s="2">
        <v>9</v>
      </c>
      <c r="E216" s="5">
        <v>163</v>
      </c>
      <c r="F216" s="5">
        <v>60</v>
      </c>
      <c r="G216" s="6">
        <v>22.582709172343712</v>
      </c>
      <c r="H216" s="9" t="s">
        <v>33</v>
      </c>
      <c r="I216" s="2">
        <v>32</v>
      </c>
      <c r="J216" s="5" t="s">
        <v>44</v>
      </c>
      <c r="K216" s="5" t="s">
        <v>44</v>
      </c>
      <c r="L216" s="5" t="s">
        <v>44</v>
      </c>
      <c r="M216" s="5" t="s">
        <v>44</v>
      </c>
      <c r="N216" s="5">
        <v>30</v>
      </c>
      <c r="O216" s="5">
        <v>39.799999999999997</v>
      </c>
      <c r="P216" s="5">
        <v>0.43</v>
      </c>
      <c r="Q216" s="5">
        <v>0.1</v>
      </c>
      <c r="R216" s="5">
        <v>0.33</v>
      </c>
      <c r="S216" s="8">
        <v>1.3266666666666667</v>
      </c>
      <c r="T216" s="5" t="s">
        <v>44</v>
      </c>
      <c r="Y216" s="5" t="s">
        <v>44</v>
      </c>
      <c r="AB216" s="9" t="s">
        <v>44</v>
      </c>
      <c r="AC216" s="2" t="s">
        <v>46</v>
      </c>
      <c r="AD216" s="2">
        <v>0</v>
      </c>
      <c r="AE216" s="2" t="s">
        <v>49</v>
      </c>
      <c r="AF216" s="2" t="s">
        <v>33</v>
      </c>
      <c r="AG216" s="5">
        <v>0</v>
      </c>
      <c r="AH216" s="5" t="s">
        <v>33</v>
      </c>
      <c r="AI216" s="5" t="s">
        <v>33</v>
      </c>
      <c r="AJ216" s="5">
        <v>6</v>
      </c>
      <c r="AK216" s="5" t="s">
        <v>34</v>
      </c>
    </row>
    <row r="217" spans="1:37" x14ac:dyDescent="0.3">
      <c r="A217" s="5">
        <v>223</v>
      </c>
      <c r="B217" s="5" t="s">
        <v>39</v>
      </c>
      <c r="C217" s="5">
        <v>34</v>
      </c>
      <c r="D217" s="2">
        <v>5</v>
      </c>
      <c r="E217" s="5">
        <v>159</v>
      </c>
      <c r="F217" s="5">
        <v>57</v>
      </c>
      <c r="G217" s="6">
        <v>22.546576480360745</v>
      </c>
      <c r="H217" s="9" t="s">
        <v>33</v>
      </c>
      <c r="I217" s="2">
        <v>32</v>
      </c>
      <c r="J217" s="5" t="s">
        <v>44</v>
      </c>
      <c r="K217" s="5" t="s">
        <v>44</v>
      </c>
      <c r="L217" s="5" t="s">
        <v>44</v>
      </c>
      <c r="M217" s="5" t="s">
        <v>44</v>
      </c>
      <c r="N217" s="5">
        <v>76.400000000000006</v>
      </c>
      <c r="O217" s="5">
        <v>46.8</v>
      </c>
      <c r="P217" s="5">
        <v>0.91</v>
      </c>
      <c r="Q217" s="5">
        <v>0.11</v>
      </c>
      <c r="R217" s="5">
        <v>0.8</v>
      </c>
      <c r="S217" s="8">
        <v>0.61256544502617793</v>
      </c>
      <c r="T217" s="5" t="s">
        <v>44</v>
      </c>
      <c r="Y217" s="5" t="s">
        <v>44</v>
      </c>
      <c r="AB217" s="9" t="s">
        <v>44</v>
      </c>
      <c r="AC217" s="2" t="s">
        <v>46</v>
      </c>
      <c r="AD217" s="2">
        <v>0</v>
      </c>
      <c r="AE217" s="2" t="s">
        <v>49</v>
      </c>
      <c r="AF217" s="2" t="s">
        <v>85</v>
      </c>
      <c r="AG217" s="5">
        <v>1</v>
      </c>
      <c r="AH217" s="5" t="s">
        <v>37</v>
      </c>
      <c r="AI217" s="5" t="s">
        <v>37</v>
      </c>
      <c r="AJ217" s="5">
        <v>15</v>
      </c>
      <c r="AK217" s="5" t="s">
        <v>34</v>
      </c>
    </row>
    <row r="218" spans="1:37" x14ac:dyDescent="0.3">
      <c r="A218" s="5">
        <v>224</v>
      </c>
      <c r="B218" s="5" t="s">
        <v>39</v>
      </c>
      <c r="C218" s="5">
        <v>36</v>
      </c>
      <c r="D218" s="2">
        <v>6</v>
      </c>
      <c r="E218" s="5">
        <v>158</v>
      </c>
      <c r="F218" s="5">
        <v>56</v>
      </c>
      <c r="G218" s="6">
        <v>22.432302515622496</v>
      </c>
      <c r="H218" s="9" t="s">
        <v>33</v>
      </c>
      <c r="I218" s="2">
        <v>30</v>
      </c>
      <c r="J218" s="5" t="s">
        <v>44</v>
      </c>
      <c r="K218" s="5" t="s">
        <v>44</v>
      </c>
      <c r="L218" s="5" t="s">
        <v>44</v>
      </c>
      <c r="M218" s="5" t="s">
        <v>44</v>
      </c>
      <c r="N218" s="5">
        <v>52</v>
      </c>
      <c r="O218" s="5">
        <v>35.200000000000003</v>
      </c>
      <c r="P218" s="5">
        <v>0.3</v>
      </c>
      <c r="Q218" s="5">
        <v>0.01</v>
      </c>
      <c r="R218" s="5">
        <v>0.28999999999999998</v>
      </c>
      <c r="S218" s="8">
        <v>0.67692307692307696</v>
      </c>
      <c r="T218" s="5" t="s">
        <v>44</v>
      </c>
      <c r="Y218" s="5" t="s">
        <v>44</v>
      </c>
      <c r="AB218" s="9" t="s">
        <v>44</v>
      </c>
      <c r="AC218" s="2" t="s">
        <v>46</v>
      </c>
      <c r="AD218" s="2">
        <v>0</v>
      </c>
      <c r="AE218" s="2" t="s">
        <v>52</v>
      </c>
      <c r="AF218" s="2" t="s">
        <v>33</v>
      </c>
      <c r="AG218" s="5">
        <v>0</v>
      </c>
      <c r="AH218" s="5" t="s">
        <v>33</v>
      </c>
      <c r="AI218" s="5" t="s">
        <v>33</v>
      </c>
      <c r="AJ218" s="5">
        <v>10</v>
      </c>
      <c r="AK218" s="5" t="s">
        <v>34</v>
      </c>
    </row>
    <row r="219" spans="1:37" x14ac:dyDescent="0.3">
      <c r="A219" s="5">
        <v>225</v>
      </c>
      <c r="B219" s="5" t="s">
        <v>39</v>
      </c>
      <c r="C219" s="5">
        <v>32</v>
      </c>
      <c r="D219" s="2">
        <v>9</v>
      </c>
      <c r="E219" s="5">
        <v>165</v>
      </c>
      <c r="F219" s="5">
        <v>66</v>
      </c>
      <c r="G219" s="6">
        <v>24.242424242424242</v>
      </c>
      <c r="H219" s="9" t="s">
        <v>33</v>
      </c>
      <c r="I219" s="2">
        <v>32</v>
      </c>
      <c r="J219" s="5" t="s">
        <v>44</v>
      </c>
      <c r="K219" s="5" t="s">
        <v>44</v>
      </c>
      <c r="L219" s="5" t="s">
        <v>44</v>
      </c>
      <c r="M219" s="5" t="s">
        <v>44</v>
      </c>
      <c r="N219" s="5">
        <v>29.8</v>
      </c>
      <c r="O219" s="5">
        <v>39.799999999999997</v>
      </c>
      <c r="P219" s="5">
        <v>0.2</v>
      </c>
      <c r="Q219" s="5">
        <v>0.04</v>
      </c>
      <c r="R219" s="5">
        <v>0.16</v>
      </c>
      <c r="S219" s="8">
        <v>1.3355704697986577</v>
      </c>
      <c r="T219" s="5" t="s">
        <v>44</v>
      </c>
      <c r="Y219" s="5" t="s">
        <v>44</v>
      </c>
      <c r="AB219" s="9" t="s">
        <v>44</v>
      </c>
      <c r="AC219" s="2" t="s">
        <v>46</v>
      </c>
      <c r="AD219" s="2">
        <v>0</v>
      </c>
      <c r="AE219" s="2" t="s">
        <v>49</v>
      </c>
      <c r="AF219" s="2" t="s">
        <v>33</v>
      </c>
      <c r="AG219" s="5">
        <v>0</v>
      </c>
      <c r="AH219" s="5" t="s">
        <v>33</v>
      </c>
      <c r="AI219" s="5" t="s">
        <v>33</v>
      </c>
      <c r="AJ219" s="5">
        <v>6</v>
      </c>
      <c r="AK219" s="5" t="s">
        <v>34</v>
      </c>
    </row>
    <row r="220" spans="1:37" x14ac:dyDescent="0.3">
      <c r="A220" s="5">
        <v>227</v>
      </c>
      <c r="B220" s="5" t="s">
        <v>39</v>
      </c>
      <c r="C220" s="5">
        <v>28</v>
      </c>
      <c r="D220" s="2">
        <v>8</v>
      </c>
      <c r="E220" s="5">
        <v>175</v>
      </c>
      <c r="F220" s="5">
        <v>56</v>
      </c>
      <c r="G220" s="6">
        <v>18.285714285714285</v>
      </c>
      <c r="H220" s="9" t="s">
        <v>43</v>
      </c>
      <c r="I220" s="2">
        <v>30</v>
      </c>
      <c r="J220" s="5" t="s">
        <v>44</v>
      </c>
      <c r="K220" s="5" t="s">
        <v>44</v>
      </c>
      <c r="L220" s="5" t="s">
        <v>44</v>
      </c>
      <c r="M220" s="5" t="s">
        <v>44</v>
      </c>
      <c r="N220" s="5">
        <v>38.76</v>
      </c>
      <c r="O220" s="5">
        <v>48.73</v>
      </c>
      <c r="P220" s="5">
        <v>0.3</v>
      </c>
      <c r="Q220" s="5">
        <v>0.05</v>
      </c>
      <c r="R220" s="5">
        <v>0.25</v>
      </c>
      <c r="S220" s="8">
        <v>1.2572239422084623</v>
      </c>
      <c r="T220" s="5" t="s">
        <v>44</v>
      </c>
      <c r="Y220" s="5" t="s">
        <v>44</v>
      </c>
      <c r="AB220" s="9" t="s">
        <v>44</v>
      </c>
      <c r="AC220" s="2" t="s">
        <v>46</v>
      </c>
      <c r="AD220" s="2">
        <v>0</v>
      </c>
      <c r="AE220" s="2" t="s">
        <v>49</v>
      </c>
      <c r="AF220" s="2" t="s">
        <v>85</v>
      </c>
      <c r="AG220" s="5">
        <v>1</v>
      </c>
      <c r="AH220" s="5" t="s">
        <v>88</v>
      </c>
      <c r="AI220" s="5" t="s">
        <v>88</v>
      </c>
      <c r="AJ220" s="5">
        <v>9</v>
      </c>
      <c r="AK220" s="5" t="s">
        <v>34</v>
      </c>
    </row>
    <row r="221" spans="1:37" ht="28.8" x14ac:dyDescent="0.3">
      <c r="A221" s="5">
        <v>228</v>
      </c>
      <c r="B221" s="5" t="s">
        <v>39</v>
      </c>
      <c r="C221" s="5">
        <v>32</v>
      </c>
      <c r="D221" s="2">
        <v>2</v>
      </c>
      <c r="E221" s="5">
        <v>163</v>
      </c>
      <c r="F221" s="5">
        <v>60</v>
      </c>
      <c r="G221" s="6">
        <v>22.582709172343712</v>
      </c>
      <c r="H221" s="9" t="s">
        <v>33</v>
      </c>
      <c r="I221" s="2">
        <v>32</v>
      </c>
      <c r="J221" s="5" t="s">
        <v>44</v>
      </c>
      <c r="K221" s="5" t="s">
        <v>44</v>
      </c>
      <c r="L221" s="5" t="s">
        <v>44</v>
      </c>
      <c r="M221" s="5" t="s">
        <v>44</v>
      </c>
      <c r="N221" s="5">
        <v>40.049999999999997</v>
      </c>
      <c r="O221" s="5">
        <v>53.53</v>
      </c>
      <c r="P221" s="5">
        <v>0.5</v>
      </c>
      <c r="Q221" s="5">
        <v>0.01</v>
      </c>
      <c r="R221" s="5">
        <v>0.49</v>
      </c>
      <c r="S221" s="8">
        <v>1.3365792759051187</v>
      </c>
      <c r="T221" s="5" t="s">
        <v>45</v>
      </c>
      <c r="U221" s="5" t="s">
        <v>56</v>
      </c>
      <c r="V221" s="5" t="s">
        <v>61</v>
      </c>
      <c r="W221" s="5" t="s">
        <v>65</v>
      </c>
      <c r="X221" s="5" t="s">
        <v>68</v>
      </c>
      <c r="Y221" s="5" t="s">
        <v>44</v>
      </c>
      <c r="AB221" s="9" t="s">
        <v>44</v>
      </c>
      <c r="AC221" s="2" t="s">
        <v>46</v>
      </c>
      <c r="AD221" s="2">
        <v>0</v>
      </c>
      <c r="AE221" s="2" t="s">
        <v>52</v>
      </c>
      <c r="AF221" s="2" t="s">
        <v>85</v>
      </c>
      <c r="AG221" s="5">
        <v>1</v>
      </c>
      <c r="AH221" s="5" t="s">
        <v>88</v>
      </c>
      <c r="AI221" s="5" t="s">
        <v>88</v>
      </c>
      <c r="AJ221" s="5">
        <v>20</v>
      </c>
      <c r="AK221" s="5" t="s">
        <v>34</v>
      </c>
    </row>
    <row r="222" spans="1:37" x14ac:dyDescent="0.3">
      <c r="A222" s="5">
        <v>229</v>
      </c>
      <c r="B222" s="5" t="s">
        <v>39</v>
      </c>
      <c r="C222" s="5">
        <v>28</v>
      </c>
      <c r="D222" s="2">
        <v>3</v>
      </c>
      <c r="E222" s="5">
        <v>160</v>
      </c>
      <c r="F222" s="5">
        <v>54</v>
      </c>
      <c r="G222" s="6">
        <v>21.09375</v>
      </c>
      <c r="H222" s="9" t="s">
        <v>33</v>
      </c>
      <c r="I222" s="2">
        <v>28</v>
      </c>
      <c r="J222" s="5" t="s">
        <v>44</v>
      </c>
      <c r="K222" s="5" t="s">
        <v>44</v>
      </c>
      <c r="L222" s="5" t="s">
        <v>44</v>
      </c>
      <c r="M222" s="5" t="s">
        <v>44</v>
      </c>
      <c r="N222" s="5">
        <v>20.2</v>
      </c>
      <c r="O222" s="5">
        <v>39.200000000000003</v>
      </c>
      <c r="P222" s="5">
        <v>0.88</v>
      </c>
      <c r="Q222" s="5">
        <v>0.1</v>
      </c>
      <c r="R222" s="5">
        <v>0.78</v>
      </c>
      <c r="S222" s="8">
        <v>1.9405940594059408</v>
      </c>
      <c r="T222" s="5" t="s">
        <v>44</v>
      </c>
      <c r="Y222" s="5" t="s">
        <v>44</v>
      </c>
      <c r="AB222" s="9" t="s">
        <v>44</v>
      </c>
      <c r="AC222" s="2" t="s">
        <v>47</v>
      </c>
      <c r="AD222" s="2">
        <v>0</v>
      </c>
      <c r="AE222" s="2" t="s">
        <v>49</v>
      </c>
      <c r="AF222" s="2" t="s">
        <v>33</v>
      </c>
      <c r="AG222" s="5">
        <v>0</v>
      </c>
      <c r="AH222" s="5" t="s">
        <v>33</v>
      </c>
      <c r="AI222" s="5" t="s">
        <v>33</v>
      </c>
      <c r="AJ222" s="5">
        <v>4</v>
      </c>
      <c r="AK222" s="5" t="s">
        <v>34</v>
      </c>
    </row>
    <row r="223" spans="1:37" x14ac:dyDescent="0.3">
      <c r="A223" s="5">
        <v>230</v>
      </c>
      <c r="B223" s="5" t="s">
        <v>39</v>
      </c>
      <c r="C223" s="5">
        <v>26</v>
      </c>
      <c r="D223" s="2">
        <v>7</v>
      </c>
      <c r="E223" s="5">
        <v>170</v>
      </c>
      <c r="F223" s="5">
        <v>70</v>
      </c>
      <c r="G223" s="6">
        <v>24.221453287197232</v>
      </c>
      <c r="H223" s="9" t="s">
        <v>33</v>
      </c>
      <c r="I223" s="2">
        <v>32</v>
      </c>
      <c r="J223" s="5" t="s">
        <v>44</v>
      </c>
      <c r="K223" s="5" t="s">
        <v>44</v>
      </c>
      <c r="L223" s="5" t="s">
        <v>44</v>
      </c>
      <c r="M223" s="5" t="s">
        <v>44</v>
      </c>
      <c r="N223" s="5">
        <v>37.5</v>
      </c>
      <c r="O223" s="5">
        <v>36.9</v>
      </c>
      <c r="P223" s="5">
        <v>0.66</v>
      </c>
      <c r="Q223" s="5">
        <v>0.12</v>
      </c>
      <c r="R223" s="5">
        <v>0.54</v>
      </c>
      <c r="S223" s="8">
        <v>0.98399999999999999</v>
      </c>
      <c r="T223" s="5" t="s">
        <v>44</v>
      </c>
      <c r="Y223" s="5" t="s">
        <v>44</v>
      </c>
      <c r="AB223" s="9" t="s">
        <v>44</v>
      </c>
      <c r="AC223" s="2" t="s">
        <v>46</v>
      </c>
      <c r="AD223" s="2">
        <v>0</v>
      </c>
      <c r="AE223" s="2" t="s">
        <v>52</v>
      </c>
      <c r="AF223" s="2" t="s">
        <v>33</v>
      </c>
      <c r="AG223" s="5">
        <v>0</v>
      </c>
      <c r="AH223" s="5" t="s">
        <v>33</v>
      </c>
      <c r="AI223" s="5" t="s">
        <v>33</v>
      </c>
      <c r="AJ223" s="5">
        <v>6</v>
      </c>
      <c r="AK223" s="5" t="s">
        <v>34</v>
      </c>
    </row>
    <row r="224" spans="1:37" x14ac:dyDescent="0.3">
      <c r="A224" s="5">
        <v>231</v>
      </c>
      <c r="B224" s="5" t="s">
        <v>39</v>
      </c>
      <c r="C224" s="5">
        <v>43</v>
      </c>
      <c r="D224" s="2">
        <v>12</v>
      </c>
      <c r="E224" s="5">
        <v>153</v>
      </c>
      <c r="F224" s="5">
        <v>53</v>
      </c>
      <c r="G224" s="6">
        <v>22.640864624716986</v>
      </c>
      <c r="H224" s="9" t="s">
        <v>33</v>
      </c>
      <c r="I224" s="2">
        <v>32</v>
      </c>
      <c r="J224" s="5" t="s">
        <v>45</v>
      </c>
      <c r="K224" s="5" t="s">
        <v>44</v>
      </c>
      <c r="L224" s="5" t="s">
        <v>44</v>
      </c>
      <c r="M224" s="5" t="s">
        <v>44</v>
      </c>
      <c r="N224" s="5">
        <v>27.8</v>
      </c>
      <c r="O224" s="5">
        <v>32.1</v>
      </c>
      <c r="P224" s="5">
        <v>0.55000000000000004</v>
      </c>
      <c r="Q224" s="5">
        <v>0.12</v>
      </c>
      <c r="R224" s="5">
        <v>0.43</v>
      </c>
      <c r="S224" s="8">
        <v>1.1546762589928057</v>
      </c>
      <c r="T224" s="5" t="s">
        <v>44</v>
      </c>
      <c r="Y224" s="5" t="s">
        <v>44</v>
      </c>
      <c r="AB224" s="9" t="s">
        <v>44</v>
      </c>
      <c r="AC224" s="2" t="s">
        <v>46</v>
      </c>
      <c r="AD224" s="2">
        <v>0</v>
      </c>
      <c r="AE224" s="2" t="s">
        <v>49</v>
      </c>
      <c r="AF224" s="2" t="s">
        <v>33</v>
      </c>
      <c r="AG224" s="5">
        <v>0</v>
      </c>
      <c r="AH224" s="5" t="s">
        <v>33</v>
      </c>
      <c r="AI224" s="5" t="s">
        <v>33</v>
      </c>
      <c r="AJ224" s="5">
        <v>11</v>
      </c>
      <c r="AK224" s="5" t="s">
        <v>34</v>
      </c>
    </row>
    <row r="225" spans="1:37" x14ac:dyDescent="0.3">
      <c r="A225" s="5">
        <v>232</v>
      </c>
      <c r="B225" s="5" t="s">
        <v>39</v>
      </c>
      <c r="C225" s="5">
        <v>33</v>
      </c>
      <c r="D225" s="2">
        <v>4</v>
      </c>
      <c r="E225" s="5">
        <v>164</v>
      </c>
      <c r="F225" s="5">
        <v>56</v>
      </c>
      <c r="G225" s="6">
        <v>20.820939916716238</v>
      </c>
      <c r="H225" s="9" t="s">
        <v>33</v>
      </c>
      <c r="I225" s="2">
        <v>30</v>
      </c>
      <c r="J225" s="5" t="s">
        <v>44</v>
      </c>
      <c r="K225" s="5" t="s">
        <v>44</v>
      </c>
      <c r="L225" s="5" t="s">
        <v>44</v>
      </c>
      <c r="M225" s="5" t="s">
        <v>44</v>
      </c>
      <c r="N225" s="5">
        <v>14.22</v>
      </c>
      <c r="O225" s="5">
        <v>42.33</v>
      </c>
      <c r="P225" s="5">
        <v>0.7</v>
      </c>
      <c r="Q225" s="5">
        <v>0.11</v>
      </c>
      <c r="R225" s="5">
        <v>0.59</v>
      </c>
      <c r="S225" s="8">
        <v>2.9767932489451474</v>
      </c>
      <c r="T225" s="5" t="s">
        <v>44</v>
      </c>
      <c r="Y225" s="5" t="s">
        <v>44</v>
      </c>
      <c r="AB225" s="9" t="s">
        <v>44</v>
      </c>
      <c r="AC225" s="2" t="s">
        <v>46</v>
      </c>
      <c r="AD225" s="2">
        <v>0</v>
      </c>
      <c r="AE225" s="2" t="s">
        <v>52</v>
      </c>
      <c r="AF225" s="2" t="s">
        <v>85</v>
      </c>
      <c r="AG225" s="5">
        <v>1</v>
      </c>
      <c r="AH225" s="5" t="s">
        <v>36</v>
      </c>
      <c r="AI225" s="5" t="s">
        <v>86</v>
      </c>
      <c r="AJ225" s="5">
        <v>9</v>
      </c>
      <c r="AK225" s="5" t="s">
        <v>34</v>
      </c>
    </row>
    <row r="226" spans="1:37" x14ac:dyDescent="0.3">
      <c r="A226" s="5">
        <v>233</v>
      </c>
      <c r="B226" s="5" t="s">
        <v>39</v>
      </c>
      <c r="C226" s="5">
        <v>31</v>
      </c>
      <c r="D226" s="2">
        <v>4</v>
      </c>
      <c r="E226" s="5">
        <v>165</v>
      </c>
      <c r="F226" s="5">
        <v>60</v>
      </c>
      <c r="G226" s="6">
        <v>22.038567493112946</v>
      </c>
      <c r="H226" s="9" t="s">
        <v>33</v>
      </c>
      <c r="I226" s="2">
        <v>30</v>
      </c>
      <c r="J226" s="5" t="s">
        <v>44</v>
      </c>
      <c r="K226" s="5" t="s">
        <v>44</v>
      </c>
      <c r="L226" s="5" t="s">
        <v>44</v>
      </c>
      <c r="M226" s="5" t="s">
        <v>44</v>
      </c>
      <c r="N226" s="5">
        <v>22.4</v>
      </c>
      <c r="O226" s="5">
        <v>36.200000000000003</v>
      </c>
      <c r="P226" s="5">
        <v>0.44</v>
      </c>
      <c r="Q226" s="5">
        <v>0.02</v>
      </c>
      <c r="R226" s="5">
        <v>0.42</v>
      </c>
      <c r="S226" s="8">
        <v>1.6160714285714288</v>
      </c>
      <c r="T226" s="5" t="s">
        <v>44</v>
      </c>
      <c r="Y226" s="5" t="s">
        <v>44</v>
      </c>
      <c r="AB226" s="9" t="s">
        <v>44</v>
      </c>
      <c r="AC226" s="2" t="s">
        <v>46</v>
      </c>
      <c r="AD226" s="2">
        <v>0</v>
      </c>
      <c r="AE226" s="2" t="s">
        <v>48</v>
      </c>
      <c r="AF226" s="2" t="s">
        <v>33</v>
      </c>
      <c r="AG226" s="5">
        <v>0</v>
      </c>
      <c r="AH226" s="5" t="s">
        <v>33</v>
      </c>
      <c r="AI226" s="5" t="s">
        <v>33</v>
      </c>
      <c r="AJ226" s="5">
        <v>3</v>
      </c>
      <c r="AK226" s="5" t="s">
        <v>34</v>
      </c>
    </row>
    <row r="227" spans="1:37" ht="43.2" x14ac:dyDescent="0.3">
      <c r="A227" s="5">
        <v>234</v>
      </c>
      <c r="B227" s="5" t="s">
        <v>39</v>
      </c>
      <c r="C227" s="5">
        <v>51</v>
      </c>
      <c r="D227" s="2">
        <v>29</v>
      </c>
      <c r="E227" s="5">
        <v>155</v>
      </c>
      <c r="F227" s="5">
        <v>60</v>
      </c>
      <c r="G227" s="6">
        <v>24.973985431841829</v>
      </c>
      <c r="H227" s="9" t="s">
        <v>42</v>
      </c>
      <c r="I227" s="2">
        <v>32</v>
      </c>
      <c r="J227" s="5" t="s">
        <v>45</v>
      </c>
      <c r="K227" s="5" t="s">
        <v>44</v>
      </c>
      <c r="L227" s="5" t="s">
        <v>44</v>
      </c>
      <c r="M227" s="5" t="s">
        <v>44</v>
      </c>
      <c r="N227" s="5">
        <v>38.9</v>
      </c>
      <c r="O227" s="5">
        <v>32.6</v>
      </c>
      <c r="P227" s="5">
        <v>1.1200000000000001</v>
      </c>
      <c r="Q227" s="5">
        <v>0.24</v>
      </c>
      <c r="R227" s="5">
        <v>0.88</v>
      </c>
      <c r="S227" s="8">
        <v>0.83804627249357333</v>
      </c>
      <c r="T227" s="5" t="s">
        <v>45</v>
      </c>
      <c r="U227" s="5" t="s">
        <v>56</v>
      </c>
      <c r="V227" s="5" t="s">
        <v>59</v>
      </c>
      <c r="W227" s="5" t="s">
        <v>65</v>
      </c>
      <c r="X227" s="5" t="s">
        <v>68</v>
      </c>
      <c r="Y227" s="5" t="s">
        <v>45</v>
      </c>
      <c r="Z227" s="5" t="s">
        <v>77</v>
      </c>
      <c r="AA227" s="5" t="s">
        <v>79</v>
      </c>
      <c r="AB227" s="9" t="s">
        <v>44</v>
      </c>
      <c r="AC227" s="2" t="s">
        <v>46</v>
      </c>
      <c r="AD227" s="2">
        <v>0</v>
      </c>
      <c r="AE227" s="2" t="s">
        <v>52</v>
      </c>
      <c r="AF227" s="2" t="s">
        <v>33</v>
      </c>
      <c r="AG227" s="5">
        <v>0</v>
      </c>
      <c r="AH227" s="5" t="s">
        <v>33</v>
      </c>
      <c r="AI227" s="5" t="s">
        <v>33</v>
      </c>
      <c r="AJ227" s="5">
        <v>29</v>
      </c>
      <c r="AK227" s="5" t="s">
        <v>35</v>
      </c>
    </row>
    <row r="228" spans="1:37" x14ac:dyDescent="0.3">
      <c r="A228" s="5">
        <v>236</v>
      </c>
      <c r="B228" s="5" t="s">
        <v>40</v>
      </c>
      <c r="C228" s="5">
        <v>22</v>
      </c>
      <c r="D228" s="2">
        <v>0</v>
      </c>
      <c r="E228" s="5">
        <v>160</v>
      </c>
      <c r="F228" s="5">
        <v>62</v>
      </c>
      <c r="G228" s="6">
        <v>24.21875</v>
      </c>
      <c r="H228" s="9" t="s">
        <v>33</v>
      </c>
      <c r="I228" s="2">
        <v>34</v>
      </c>
      <c r="J228" s="5" t="s">
        <v>44</v>
      </c>
      <c r="K228" s="5" t="s">
        <v>44</v>
      </c>
      <c r="L228" s="5" t="s">
        <v>44</v>
      </c>
      <c r="M228" s="5" t="s">
        <v>44</v>
      </c>
      <c r="N228" s="5">
        <v>39.15</v>
      </c>
      <c r="O228" s="5">
        <v>33.57</v>
      </c>
      <c r="P228" s="5">
        <v>0.56000000000000005</v>
      </c>
      <c r="Q228" s="5">
        <v>7.0000000000000007E-2</v>
      </c>
      <c r="R228" s="5">
        <v>0.49</v>
      </c>
      <c r="S228" s="8">
        <v>0.85747126436781618</v>
      </c>
      <c r="T228" s="5" t="s">
        <v>44</v>
      </c>
      <c r="Y228" s="5" t="s">
        <v>44</v>
      </c>
      <c r="AB228" s="9" t="s">
        <v>44</v>
      </c>
      <c r="AC228" s="2" t="s">
        <v>47</v>
      </c>
      <c r="AD228" s="2">
        <v>0</v>
      </c>
      <c r="AE228" s="2" t="s">
        <v>49</v>
      </c>
      <c r="AF228" s="2" t="s">
        <v>33</v>
      </c>
      <c r="AG228" s="5">
        <v>0</v>
      </c>
      <c r="AH228" s="5" t="s">
        <v>33</v>
      </c>
      <c r="AI228" s="5" t="s">
        <v>33</v>
      </c>
      <c r="AJ228" s="5">
        <v>3</v>
      </c>
      <c r="AK228" s="5" t="s">
        <v>34</v>
      </c>
    </row>
    <row r="229" spans="1:37" x14ac:dyDescent="0.3">
      <c r="A229" s="5">
        <v>237</v>
      </c>
      <c r="B229" s="5" t="s">
        <v>39</v>
      </c>
      <c r="C229" s="5">
        <v>35</v>
      </c>
      <c r="D229" s="2">
        <v>5</v>
      </c>
      <c r="E229" s="5">
        <v>163</v>
      </c>
      <c r="F229" s="5">
        <v>80</v>
      </c>
      <c r="G229" s="6">
        <v>30.110278896458279</v>
      </c>
      <c r="H229" s="9" t="s">
        <v>41</v>
      </c>
      <c r="I229" s="2">
        <v>34</v>
      </c>
      <c r="J229" s="5" t="s">
        <v>44</v>
      </c>
      <c r="K229" s="5" t="s">
        <v>44</v>
      </c>
      <c r="L229" s="5" t="s">
        <v>44</v>
      </c>
      <c r="M229" s="5" t="s">
        <v>44</v>
      </c>
      <c r="N229" s="5">
        <v>34.4</v>
      </c>
      <c r="O229" s="5">
        <v>39.1</v>
      </c>
      <c r="P229" s="5">
        <v>0.63</v>
      </c>
      <c r="Q229" s="5">
        <v>0.06</v>
      </c>
      <c r="R229" s="5">
        <v>0.56999999999999995</v>
      </c>
      <c r="S229" s="8">
        <v>1.1366279069767442</v>
      </c>
      <c r="T229" s="5" t="s">
        <v>44</v>
      </c>
      <c r="Y229" s="5" t="s">
        <v>44</v>
      </c>
      <c r="AB229" s="9" t="s">
        <v>44</v>
      </c>
      <c r="AC229" s="2" t="s">
        <v>46</v>
      </c>
      <c r="AD229" s="2">
        <v>0</v>
      </c>
      <c r="AE229" s="2" t="s">
        <v>52</v>
      </c>
      <c r="AF229" s="2" t="s">
        <v>33</v>
      </c>
      <c r="AG229" s="5">
        <v>0</v>
      </c>
      <c r="AH229" s="5" t="s">
        <v>33</v>
      </c>
      <c r="AI229" s="5" t="s">
        <v>33</v>
      </c>
      <c r="AJ229" s="5">
        <v>21</v>
      </c>
      <c r="AK229" s="5" t="s">
        <v>35</v>
      </c>
    </row>
    <row r="230" spans="1:37" ht="72" x14ac:dyDescent="0.3">
      <c r="A230" s="5">
        <v>238</v>
      </c>
      <c r="B230" s="5" t="s">
        <v>39</v>
      </c>
      <c r="C230" s="5">
        <v>31</v>
      </c>
      <c r="D230" s="2">
        <v>4</v>
      </c>
      <c r="E230" s="5">
        <v>165</v>
      </c>
      <c r="F230" s="5">
        <v>72</v>
      </c>
      <c r="G230" s="6">
        <v>26.446280991735538</v>
      </c>
      <c r="H230" s="9" t="s">
        <v>42</v>
      </c>
      <c r="I230" s="2">
        <v>34</v>
      </c>
      <c r="J230" s="5" t="s">
        <v>44</v>
      </c>
      <c r="K230" s="5" t="s">
        <v>44</v>
      </c>
      <c r="L230" s="5" t="s">
        <v>44</v>
      </c>
      <c r="M230" s="5" t="s">
        <v>44</v>
      </c>
      <c r="N230" s="5">
        <v>57</v>
      </c>
      <c r="O230" s="5">
        <v>42.9</v>
      </c>
      <c r="P230" s="5">
        <v>0.53</v>
      </c>
      <c r="Q230" s="5">
        <v>0.05</v>
      </c>
      <c r="R230" s="5">
        <v>0.48</v>
      </c>
      <c r="S230" s="8">
        <v>0.75263157894736843</v>
      </c>
      <c r="T230" s="5" t="s">
        <v>45</v>
      </c>
      <c r="U230" s="5" t="s">
        <v>55</v>
      </c>
      <c r="V230" s="5" t="s">
        <v>60</v>
      </c>
      <c r="W230" s="5" t="s">
        <v>65</v>
      </c>
      <c r="X230" s="5" t="s">
        <v>69</v>
      </c>
      <c r="Y230" s="5" t="s">
        <v>45</v>
      </c>
      <c r="Z230" s="5" t="s">
        <v>74</v>
      </c>
      <c r="AA230" s="5" t="s">
        <v>79</v>
      </c>
      <c r="AB230" s="9" t="s">
        <v>44</v>
      </c>
      <c r="AC230" s="2" t="s">
        <v>46</v>
      </c>
      <c r="AD230" s="2">
        <v>0</v>
      </c>
      <c r="AE230" s="2" t="s">
        <v>48</v>
      </c>
      <c r="AF230" s="2" t="s">
        <v>85</v>
      </c>
      <c r="AG230" s="5">
        <v>1</v>
      </c>
      <c r="AH230" s="5" t="s">
        <v>37</v>
      </c>
      <c r="AI230" s="5" t="s">
        <v>37</v>
      </c>
      <c r="AJ230" s="5">
        <v>31</v>
      </c>
      <c r="AK230" s="5" t="s">
        <v>35</v>
      </c>
    </row>
    <row r="231" spans="1:37" x14ac:dyDescent="0.3">
      <c r="A231" s="5">
        <v>239</v>
      </c>
      <c r="B231" s="5" t="s">
        <v>39</v>
      </c>
      <c r="C231" s="5">
        <v>53</v>
      </c>
      <c r="D231" s="2">
        <v>22</v>
      </c>
      <c r="E231" s="5">
        <v>165</v>
      </c>
      <c r="F231" s="5">
        <v>70</v>
      </c>
      <c r="G231" s="6">
        <v>25.711662075298438</v>
      </c>
      <c r="H231" s="9" t="s">
        <v>42</v>
      </c>
      <c r="I231" s="2">
        <v>34</v>
      </c>
      <c r="J231" s="5" t="s">
        <v>44</v>
      </c>
      <c r="K231" s="5" t="s">
        <v>45</v>
      </c>
      <c r="L231" s="5" t="s">
        <v>44</v>
      </c>
      <c r="M231" s="5" t="s">
        <v>44</v>
      </c>
      <c r="N231" s="5">
        <v>37.76</v>
      </c>
      <c r="O231" s="5">
        <v>37.97</v>
      </c>
      <c r="P231" s="5">
        <v>0.5</v>
      </c>
      <c r="Q231" s="5">
        <v>0.1</v>
      </c>
      <c r="R231" s="5">
        <v>0.4</v>
      </c>
      <c r="S231" s="8">
        <v>1.005561440677966</v>
      </c>
      <c r="T231" s="5" t="s">
        <v>44</v>
      </c>
      <c r="Y231" s="5" t="s">
        <v>44</v>
      </c>
      <c r="AB231" s="9" t="s">
        <v>44</v>
      </c>
      <c r="AC231" s="2" t="s">
        <v>47</v>
      </c>
      <c r="AD231" s="2">
        <v>0</v>
      </c>
      <c r="AE231" s="2" t="s">
        <v>52</v>
      </c>
      <c r="AF231" s="2" t="s">
        <v>33</v>
      </c>
      <c r="AG231" s="5">
        <v>0</v>
      </c>
      <c r="AH231" s="5" t="s">
        <v>33</v>
      </c>
      <c r="AI231" s="5" t="s">
        <v>33</v>
      </c>
      <c r="AJ231" s="5">
        <v>20</v>
      </c>
      <c r="AK231" s="5" t="s">
        <v>34</v>
      </c>
    </row>
    <row r="232" spans="1:37" x14ac:dyDescent="0.3">
      <c r="A232" s="5">
        <v>240</v>
      </c>
      <c r="B232" s="5" t="s">
        <v>39</v>
      </c>
      <c r="C232" s="5">
        <v>26</v>
      </c>
      <c r="D232" s="2">
        <v>4</v>
      </c>
      <c r="E232" s="5">
        <v>161</v>
      </c>
      <c r="F232" s="5">
        <v>54</v>
      </c>
      <c r="G232" s="6">
        <v>20.832529609197177</v>
      </c>
      <c r="H232" s="9" t="s">
        <v>33</v>
      </c>
      <c r="I232" s="2">
        <v>32</v>
      </c>
      <c r="J232" s="5" t="s">
        <v>44</v>
      </c>
      <c r="K232" s="5" t="s">
        <v>44</v>
      </c>
      <c r="L232" s="5" t="s">
        <v>44</v>
      </c>
      <c r="M232" s="5" t="s">
        <v>44</v>
      </c>
      <c r="N232" s="5">
        <v>27.33</v>
      </c>
      <c r="O232" s="5">
        <v>41.39</v>
      </c>
      <c r="P232" s="5">
        <v>0.21</v>
      </c>
      <c r="Q232" s="5">
        <v>0.05</v>
      </c>
      <c r="R232" s="5">
        <v>0.16</v>
      </c>
      <c r="S232" s="8">
        <v>1.5144529820709844</v>
      </c>
      <c r="T232" s="5" t="s">
        <v>44</v>
      </c>
      <c r="Y232" s="5" t="s">
        <v>44</v>
      </c>
      <c r="AB232" s="9" t="s">
        <v>44</v>
      </c>
      <c r="AC232" s="2" t="s">
        <v>46</v>
      </c>
      <c r="AD232" s="2">
        <v>0</v>
      </c>
      <c r="AE232" s="2" t="s">
        <v>49</v>
      </c>
      <c r="AF232" s="2" t="s">
        <v>85</v>
      </c>
      <c r="AG232" s="5">
        <v>1</v>
      </c>
      <c r="AH232" s="5" t="s">
        <v>88</v>
      </c>
      <c r="AI232" s="5" t="s">
        <v>88</v>
      </c>
      <c r="AJ232" s="5">
        <v>9</v>
      </c>
      <c r="AK232" s="5" t="s">
        <v>34</v>
      </c>
    </row>
    <row r="233" spans="1:37" ht="28.8" x14ac:dyDescent="0.3">
      <c r="A233" s="5">
        <v>241</v>
      </c>
      <c r="B233" s="5" t="s">
        <v>39</v>
      </c>
      <c r="C233" s="5">
        <v>41</v>
      </c>
      <c r="D233" s="2">
        <v>18</v>
      </c>
      <c r="E233" s="5">
        <v>188</v>
      </c>
      <c r="F233" s="5">
        <v>81</v>
      </c>
      <c r="G233" s="6">
        <v>22.917609778180175</v>
      </c>
      <c r="H233" s="9" t="s">
        <v>33</v>
      </c>
      <c r="I233" s="2">
        <v>36</v>
      </c>
      <c r="J233" s="5" t="s">
        <v>44</v>
      </c>
      <c r="K233" s="5" t="s">
        <v>44</v>
      </c>
      <c r="L233" s="5" t="s">
        <v>44</v>
      </c>
      <c r="M233" s="5" t="s">
        <v>44</v>
      </c>
      <c r="N233" s="5">
        <v>34</v>
      </c>
      <c r="O233" s="5">
        <v>35.200000000000003</v>
      </c>
      <c r="P233" s="5">
        <v>0.43</v>
      </c>
      <c r="Q233" s="5">
        <v>0.06</v>
      </c>
      <c r="R233" s="5">
        <v>0.37</v>
      </c>
      <c r="S233" s="8">
        <v>1.0352941176470589</v>
      </c>
      <c r="T233" s="5" t="s">
        <v>45</v>
      </c>
      <c r="U233" s="5" t="s">
        <v>58</v>
      </c>
      <c r="V233" s="5" t="s">
        <v>60</v>
      </c>
      <c r="W233" s="5" t="s">
        <v>65</v>
      </c>
      <c r="X233" s="5" t="s">
        <v>68</v>
      </c>
      <c r="Y233" s="5" t="s">
        <v>44</v>
      </c>
      <c r="AB233" s="9" t="s">
        <v>44</v>
      </c>
      <c r="AC233" s="2" t="s">
        <v>47</v>
      </c>
      <c r="AD233" s="2">
        <v>0</v>
      </c>
      <c r="AE233" s="2" t="s">
        <v>52</v>
      </c>
      <c r="AF233" s="2" t="s">
        <v>33</v>
      </c>
      <c r="AG233" s="5">
        <v>0</v>
      </c>
      <c r="AH233" s="5" t="s">
        <v>33</v>
      </c>
      <c r="AI233" s="5" t="s">
        <v>33</v>
      </c>
      <c r="AJ233" s="5">
        <v>19</v>
      </c>
      <c r="AK233" s="5" t="s">
        <v>34</v>
      </c>
    </row>
    <row r="234" spans="1:37" x14ac:dyDescent="0.3">
      <c r="A234" s="5">
        <v>242</v>
      </c>
      <c r="B234" s="5" t="s">
        <v>39</v>
      </c>
      <c r="C234" s="5">
        <v>28</v>
      </c>
      <c r="D234" s="2">
        <v>4</v>
      </c>
      <c r="E234" s="5">
        <v>165</v>
      </c>
      <c r="F234" s="5">
        <v>52</v>
      </c>
      <c r="G234" s="6">
        <v>19.100091827364555</v>
      </c>
      <c r="H234" s="9" t="s">
        <v>33</v>
      </c>
      <c r="I234" s="2">
        <v>30</v>
      </c>
      <c r="J234" s="5" t="s">
        <v>44</v>
      </c>
      <c r="K234" s="5" t="s">
        <v>44</v>
      </c>
      <c r="L234" s="5" t="s">
        <v>44</v>
      </c>
      <c r="M234" s="5" t="s">
        <v>44</v>
      </c>
      <c r="N234" s="5">
        <v>27.21</v>
      </c>
      <c r="O234" s="5">
        <v>38.72</v>
      </c>
      <c r="P234" s="5">
        <v>1.44</v>
      </c>
      <c r="Q234" s="5">
        <v>0.32</v>
      </c>
      <c r="R234" s="5">
        <v>1.21</v>
      </c>
      <c r="S234" s="8">
        <v>1.4230062477030503</v>
      </c>
      <c r="T234" s="5" t="s">
        <v>44</v>
      </c>
      <c r="Y234" s="5" t="s">
        <v>44</v>
      </c>
      <c r="AB234" s="9" t="s">
        <v>44</v>
      </c>
      <c r="AC234" s="2" t="s">
        <v>46</v>
      </c>
      <c r="AD234" s="2">
        <v>0</v>
      </c>
      <c r="AE234" s="2" t="s">
        <v>49</v>
      </c>
      <c r="AF234" s="2" t="s">
        <v>85</v>
      </c>
      <c r="AG234" s="5">
        <v>1</v>
      </c>
      <c r="AH234" s="5" t="s">
        <v>87</v>
      </c>
      <c r="AI234" s="5" t="s">
        <v>87</v>
      </c>
      <c r="AJ234" s="5">
        <v>10</v>
      </c>
      <c r="AK234" s="5" t="s">
        <v>34</v>
      </c>
    </row>
    <row r="235" spans="1:37" ht="28.8" x14ac:dyDescent="0.3">
      <c r="A235" s="5">
        <v>243</v>
      </c>
      <c r="B235" s="5" t="s">
        <v>39</v>
      </c>
      <c r="C235" s="5">
        <v>26</v>
      </c>
      <c r="D235" s="2">
        <v>1</v>
      </c>
      <c r="E235" s="5">
        <v>158</v>
      </c>
      <c r="F235" s="5">
        <v>64</v>
      </c>
      <c r="G235" s="6">
        <v>25.636917160711423</v>
      </c>
      <c r="H235" s="9" t="s">
        <v>42</v>
      </c>
      <c r="I235" s="2">
        <v>30</v>
      </c>
      <c r="J235" s="5" t="s">
        <v>44</v>
      </c>
      <c r="K235" s="5" t="s">
        <v>44</v>
      </c>
      <c r="L235" s="5" t="s">
        <v>44</v>
      </c>
      <c r="M235" s="5" t="s">
        <v>44</v>
      </c>
      <c r="N235" s="5">
        <v>27.8</v>
      </c>
      <c r="O235" s="5">
        <v>40.1</v>
      </c>
      <c r="P235" s="5">
        <v>0.37</v>
      </c>
      <c r="Q235" s="5">
        <v>7.0000000000000007E-2</v>
      </c>
      <c r="R235" s="5">
        <v>0.3</v>
      </c>
      <c r="S235" s="8">
        <v>1.4424460431654675</v>
      </c>
      <c r="T235" s="5" t="s">
        <v>45</v>
      </c>
      <c r="U235" s="5" t="s">
        <v>56</v>
      </c>
      <c r="V235" s="5" t="s">
        <v>61</v>
      </c>
      <c r="Y235" s="5" t="s">
        <v>44</v>
      </c>
      <c r="AB235" s="9" t="s">
        <v>44</v>
      </c>
      <c r="AC235" s="2" t="s">
        <v>46</v>
      </c>
      <c r="AD235" s="2">
        <v>0</v>
      </c>
      <c r="AE235" s="2" t="s">
        <v>52</v>
      </c>
      <c r="AF235" s="2" t="s">
        <v>85</v>
      </c>
      <c r="AG235" s="5">
        <v>1</v>
      </c>
      <c r="AH235" s="5" t="s">
        <v>88</v>
      </c>
      <c r="AI235" s="5" t="s">
        <v>88</v>
      </c>
      <c r="AJ235" s="5">
        <v>19</v>
      </c>
      <c r="AK235" s="5" t="s">
        <v>34</v>
      </c>
    </row>
    <row r="236" spans="1:37" x14ac:dyDescent="0.3">
      <c r="A236" s="5">
        <v>244</v>
      </c>
      <c r="B236" s="5" t="s">
        <v>39</v>
      </c>
      <c r="C236" s="5">
        <v>34</v>
      </c>
      <c r="D236" s="2">
        <v>3</v>
      </c>
      <c r="E236" s="5">
        <v>158</v>
      </c>
      <c r="F236" s="5">
        <v>63</v>
      </c>
      <c r="G236" s="6">
        <v>25.236340330075311</v>
      </c>
      <c r="H236" s="9" t="s">
        <v>42</v>
      </c>
      <c r="I236" s="2">
        <v>32</v>
      </c>
      <c r="J236" s="5" t="s">
        <v>44</v>
      </c>
      <c r="K236" s="5" t="s">
        <v>44</v>
      </c>
      <c r="L236" s="5" t="s">
        <v>44</v>
      </c>
      <c r="M236" s="5" t="s">
        <v>44</v>
      </c>
      <c r="N236" s="5">
        <v>36.799999999999997</v>
      </c>
      <c r="O236" s="5">
        <v>36.200000000000003</v>
      </c>
      <c r="P236" s="5">
        <v>0.32</v>
      </c>
      <c r="Q236" s="5">
        <v>0.09</v>
      </c>
      <c r="R236" s="5">
        <v>0.23</v>
      </c>
      <c r="S236" s="8">
        <v>0.98369565217391319</v>
      </c>
      <c r="T236" s="5" t="s">
        <v>44</v>
      </c>
      <c r="Y236" s="5" t="s">
        <v>44</v>
      </c>
      <c r="AB236" s="9" t="s">
        <v>44</v>
      </c>
      <c r="AC236" s="2" t="s">
        <v>47</v>
      </c>
      <c r="AD236" s="2">
        <v>0</v>
      </c>
      <c r="AE236" s="2" t="s">
        <v>52</v>
      </c>
      <c r="AF236" s="2" t="s">
        <v>33</v>
      </c>
      <c r="AG236" s="5">
        <v>0</v>
      </c>
      <c r="AH236" s="5" t="s">
        <v>33</v>
      </c>
      <c r="AI236" s="5" t="s">
        <v>33</v>
      </c>
      <c r="AJ236" s="5">
        <v>9</v>
      </c>
      <c r="AK236" s="5" t="s">
        <v>34</v>
      </c>
    </row>
    <row r="237" spans="1:37" x14ac:dyDescent="0.3">
      <c r="A237" s="5">
        <v>245</v>
      </c>
      <c r="B237" s="5" t="s">
        <v>39</v>
      </c>
      <c r="C237" s="5">
        <v>22</v>
      </c>
      <c r="D237" s="2">
        <v>2</v>
      </c>
      <c r="E237" s="5">
        <v>188</v>
      </c>
      <c r="F237" s="5">
        <v>61</v>
      </c>
      <c r="G237" s="6">
        <v>17.258940697148031</v>
      </c>
      <c r="H237" s="9" t="s">
        <v>43</v>
      </c>
      <c r="I237" s="2">
        <v>28</v>
      </c>
      <c r="J237" s="5" t="s">
        <v>44</v>
      </c>
      <c r="K237" s="5" t="s">
        <v>44</v>
      </c>
      <c r="L237" s="5" t="s">
        <v>44</v>
      </c>
      <c r="M237" s="5" t="s">
        <v>44</v>
      </c>
      <c r="N237" s="5">
        <v>23</v>
      </c>
      <c r="O237" s="5">
        <v>35.200000000000003</v>
      </c>
      <c r="P237" s="5">
        <v>0.22</v>
      </c>
      <c r="Q237" s="5">
        <v>0.02</v>
      </c>
      <c r="R237" s="5">
        <v>0.2</v>
      </c>
      <c r="S237" s="8">
        <v>1.5304347826086957</v>
      </c>
      <c r="T237" s="5" t="s">
        <v>44</v>
      </c>
      <c r="Y237" s="5" t="s">
        <v>44</v>
      </c>
      <c r="AB237" s="9" t="s">
        <v>44</v>
      </c>
      <c r="AC237" s="2" t="s">
        <v>47</v>
      </c>
      <c r="AD237" s="2">
        <v>0</v>
      </c>
      <c r="AE237" s="2" t="s">
        <v>49</v>
      </c>
      <c r="AF237" s="2" t="s">
        <v>33</v>
      </c>
      <c r="AG237" s="5">
        <v>0</v>
      </c>
      <c r="AH237" s="5" t="s">
        <v>33</v>
      </c>
      <c r="AI237" s="5" t="s">
        <v>33</v>
      </c>
      <c r="AJ237" s="5">
        <v>3</v>
      </c>
      <c r="AK237" s="5" t="s">
        <v>34</v>
      </c>
    </row>
    <row r="238" spans="1:37" x14ac:dyDescent="0.3">
      <c r="A238" s="5">
        <v>246</v>
      </c>
      <c r="B238" s="5" t="s">
        <v>39</v>
      </c>
      <c r="C238" s="5">
        <v>34</v>
      </c>
      <c r="D238" s="2">
        <v>10</v>
      </c>
      <c r="E238" s="5">
        <v>163</v>
      </c>
      <c r="F238" s="5">
        <v>62</v>
      </c>
      <c r="G238" s="6">
        <v>23.335466144755166</v>
      </c>
      <c r="H238" s="9" t="s">
        <v>33</v>
      </c>
      <c r="I238" s="2">
        <v>32</v>
      </c>
      <c r="J238" s="5" t="s">
        <v>44</v>
      </c>
      <c r="K238" s="5" t="s">
        <v>44</v>
      </c>
      <c r="L238" s="5" t="s">
        <v>44</v>
      </c>
      <c r="M238" s="5" t="s">
        <v>44</v>
      </c>
      <c r="N238" s="5">
        <v>37.69</v>
      </c>
      <c r="O238" s="5">
        <v>24.77</v>
      </c>
      <c r="P238" s="5">
        <v>0.56999999999999995</v>
      </c>
      <c r="Q238" s="5">
        <v>0.1</v>
      </c>
      <c r="R238" s="5">
        <v>0.47</v>
      </c>
      <c r="S238" s="8">
        <v>0.65720350225524016</v>
      </c>
      <c r="T238" s="5" t="s">
        <v>44</v>
      </c>
      <c r="Y238" s="5" t="s">
        <v>44</v>
      </c>
      <c r="AB238" s="9" t="s">
        <v>44</v>
      </c>
      <c r="AC238" s="2" t="s">
        <v>47</v>
      </c>
      <c r="AD238" s="2">
        <v>0</v>
      </c>
      <c r="AE238" s="2" t="s">
        <v>52</v>
      </c>
      <c r="AF238" s="2" t="s">
        <v>33</v>
      </c>
      <c r="AG238" s="5">
        <v>0</v>
      </c>
      <c r="AH238" s="5" t="s">
        <v>33</v>
      </c>
      <c r="AI238" s="5" t="s">
        <v>33</v>
      </c>
      <c r="AJ238" s="5">
        <v>4</v>
      </c>
      <c r="AK238" s="5" t="s">
        <v>34</v>
      </c>
    </row>
    <row r="239" spans="1:37" ht="28.8" x14ac:dyDescent="0.3">
      <c r="A239" s="5">
        <v>247</v>
      </c>
      <c r="B239" s="5" t="s">
        <v>39</v>
      </c>
      <c r="C239" s="5">
        <v>35</v>
      </c>
      <c r="D239" s="2">
        <v>12</v>
      </c>
      <c r="E239" s="5">
        <v>170</v>
      </c>
      <c r="F239" s="5">
        <v>72</v>
      </c>
      <c r="G239" s="6">
        <v>24.913494809688579</v>
      </c>
      <c r="H239" s="9" t="s">
        <v>42</v>
      </c>
      <c r="I239" s="2">
        <v>34</v>
      </c>
      <c r="J239" s="5" t="s">
        <v>44</v>
      </c>
      <c r="K239" s="5" t="s">
        <v>44</v>
      </c>
      <c r="L239" s="5" t="s">
        <v>44</v>
      </c>
      <c r="M239" s="5" t="s">
        <v>44</v>
      </c>
      <c r="N239" s="5">
        <v>23.7</v>
      </c>
      <c r="O239" s="5">
        <v>44.2</v>
      </c>
      <c r="P239" s="5">
        <v>0.83</v>
      </c>
      <c r="Q239" s="5">
        <v>0.2</v>
      </c>
      <c r="R239" s="5">
        <v>0.63</v>
      </c>
      <c r="S239" s="8">
        <v>1.8649789029535866</v>
      </c>
      <c r="T239" s="5" t="s">
        <v>45</v>
      </c>
      <c r="U239" s="5" t="s">
        <v>57</v>
      </c>
      <c r="V239" s="5" t="s">
        <v>60</v>
      </c>
      <c r="W239" s="5" t="s">
        <v>65</v>
      </c>
      <c r="X239" s="5" t="s">
        <v>68</v>
      </c>
      <c r="Y239" s="5" t="s">
        <v>44</v>
      </c>
      <c r="AB239" s="9" t="s">
        <v>44</v>
      </c>
      <c r="AC239" s="2" t="s">
        <v>46</v>
      </c>
      <c r="AD239" s="2">
        <v>0</v>
      </c>
      <c r="AE239" s="2" t="s">
        <v>52</v>
      </c>
      <c r="AF239" s="2" t="s">
        <v>85</v>
      </c>
      <c r="AG239" s="5">
        <v>1</v>
      </c>
      <c r="AH239" s="5" t="s">
        <v>88</v>
      </c>
      <c r="AI239" s="5" t="s">
        <v>88</v>
      </c>
      <c r="AJ239" s="5">
        <v>21</v>
      </c>
      <c r="AK239" s="5" t="s">
        <v>35</v>
      </c>
    </row>
    <row r="240" spans="1:37" ht="28.8" x14ac:dyDescent="0.3">
      <c r="A240" s="5">
        <v>248</v>
      </c>
      <c r="B240" s="5" t="s">
        <v>39</v>
      </c>
      <c r="C240" s="5">
        <v>36</v>
      </c>
      <c r="D240" s="2">
        <v>12</v>
      </c>
      <c r="E240" s="5">
        <v>160</v>
      </c>
      <c r="F240" s="5">
        <v>75</v>
      </c>
      <c r="G240" s="6">
        <v>29.296875</v>
      </c>
      <c r="H240" s="9" t="s">
        <v>42</v>
      </c>
      <c r="I240" s="2">
        <v>34</v>
      </c>
      <c r="J240" s="5" t="s">
        <v>44</v>
      </c>
      <c r="K240" s="5" t="s">
        <v>44</v>
      </c>
      <c r="L240" s="5" t="s">
        <v>44</v>
      </c>
      <c r="M240" s="5" t="s">
        <v>44</v>
      </c>
      <c r="N240" s="5">
        <v>68</v>
      </c>
      <c r="O240" s="5">
        <v>55.5</v>
      </c>
      <c r="P240" s="5">
        <v>0.52</v>
      </c>
      <c r="Q240" s="5">
        <v>0.1</v>
      </c>
      <c r="R240" s="5">
        <v>0.42</v>
      </c>
      <c r="S240" s="8">
        <v>0.81617647058823528</v>
      </c>
      <c r="T240" s="5" t="s">
        <v>45</v>
      </c>
      <c r="U240" s="5" t="s">
        <v>56</v>
      </c>
      <c r="V240" s="5" t="s">
        <v>60</v>
      </c>
      <c r="W240" s="5" t="s">
        <v>65</v>
      </c>
      <c r="X240" s="5" t="s">
        <v>68</v>
      </c>
      <c r="Y240" s="5" t="s">
        <v>44</v>
      </c>
      <c r="AB240" s="9" t="s">
        <v>44</v>
      </c>
      <c r="AC240" s="2" t="s">
        <v>46</v>
      </c>
      <c r="AD240" s="2">
        <v>0</v>
      </c>
      <c r="AE240" s="2" t="s">
        <v>52</v>
      </c>
      <c r="AF240" s="2" t="s">
        <v>85</v>
      </c>
      <c r="AG240" s="5">
        <v>1</v>
      </c>
      <c r="AH240" s="5" t="s">
        <v>37</v>
      </c>
      <c r="AI240" s="5" t="s">
        <v>37</v>
      </c>
      <c r="AJ240" s="5">
        <v>36</v>
      </c>
      <c r="AK240" s="5" t="s">
        <v>35</v>
      </c>
    </row>
    <row r="241" spans="1:37" x14ac:dyDescent="0.3">
      <c r="A241" s="5">
        <v>249</v>
      </c>
      <c r="B241" s="5" t="s">
        <v>39</v>
      </c>
      <c r="C241" s="5">
        <v>36</v>
      </c>
      <c r="D241" s="2">
        <v>13</v>
      </c>
      <c r="E241" s="5">
        <v>173</v>
      </c>
      <c r="F241" s="5">
        <v>78</v>
      </c>
      <c r="G241" s="6">
        <v>26.061679307694877</v>
      </c>
      <c r="H241" s="9" t="s">
        <v>42</v>
      </c>
      <c r="I241" s="2">
        <v>36</v>
      </c>
      <c r="J241" s="5" t="s">
        <v>44</v>
      </c>
      <c r="K241" s="5" t="s">
        <v>44</v>
      </c>
      <c r="L241" s="5" t="s">
        <v>44</v>
      </c>
      <c r="M241" s="5" t="s">
        <v>44</v>
      </c>
      <c r="N241" s="5">
        <v>41.91</v>
      </c>
      <c r="O241" s="5">
        <v>24.25</v>
      </c>
      <c r="P241" s="5">
        <v>0.55000000000000004</v>
      </c>
      <c r="Q241" s="5">
        <v>0.18</v>
      </c>
      <c r="R241" s="5">
        <v>0.37</v>
      </c>
      <c r="S241" s="8">
        <v>0.57862085421140541</v>
      </c>
      <c r="T241" s="5" t="s">
        <v>44</v>
      </c>
      <c r="Y241" s="5" t="s">
        <v>44</v>
      </c>
      <c r="AB241" s="9" t="s">
        <v>44</v>
      </c>
      <c r="AC241" s="2" t="s">
        <v>47</v>
      </c>
      <c r="AD241" s="2">
        <v>0</v>
      </c>
      <c r="AE241" s="2" t="s">
        <v>52</v>
      </c>
      <c r="AF241" s="2" t="s">
        <v>33</v>
      </c>
      <c r="AG241" s="5">
        <v>0</v>
      </c>
      <c r="AH241" s="5" t="s">
        <v>33</v>
      </c>
      <c r="AI241" s="5" t="s">
        <v>33</v>
      </c>
      <c r="AJ241" s="5">
        <v>13</v>
      </c>
      <c r="AK241" s="5" t="s">
        <v>34</v>
      </c>
    </row>
    <row r="242" spans="1:37" x14ac:dyDescent="0.3">
      <c r="A242" s="5">
        <v>250</v>
      </c>
      <c r="B242" s="5" t="s">
        <v>39</v>
      </c>
      <c r="C242" s="5">
        <v>34</v>
      </c>
      <c r="D242" s="2">
        <v>12</v>
      </c>
      <c r="E242" s="5">
        <v>174</v>
      </c>
      <c r="F242" s="5">
        <v>70</v>
      </c>
      <c r="G242" s="6">
        <v>23.120623596247853</v>
      </c>
      <c r="H242" s="9" t="s">
        <v>33</v>
      </c>
      <c r="I242" s="2">
        <v>32</v>
      </c>
      <c r="J242" s="5" t="s">
        <v>44</v>
      </c>
      <c r="K242" s="5" t="s">
        <v>44</v>
      </c>
      <c r="L242" s="5" t="s">
        <v>44</v>
      </c>
      <c r="M242" s="5" t="s">
        <v>44</v>
      </c>
      <c r="N242" s="5">
        <v>29.4</v>
      </c>
      <c r="O242" s="5">
        <v>65.2</v>
      </c>
      <c r="P242" s="5">
        <v>0.44</v>
      </c>
      <c r="Q242" s="5">
        <v>0.08</v>
      </c>
      <c r="R242" s="5">
        <v>0.36</v>
      </c>
      <c r="S242" s="8">
        <v>2.2176870748299322</v>
      </c>
      <c r="T242" s="5" t="s">
        <v>44</v>
      </c>
      <c r="Y242" s="5" t="s">
        <v>44</v>
      </c>
      <c r="AB242" s="9" t="s">
        <v>44</v>
      </c>
      <c r="AC242" s="2" t="s">
        <v>47</v>
      </c>
      <c r="AD242" s="2">
        <v>0</v>
      </c>
      <c r="AE242" s="2" t="s">
        <v>52</v>
      </c>
      <c r="AF242" s="2" t="s">
        <v>85</v>
      </c>
      <c r="AG242" s="5">
        <v>1</v>
      </c>
      <c r="AH242" s="5" t="s">
        <v>36</v>
      </c>
      <c r="AI242" s="5" t="s">
        <v>86</v>
      </c>
      <c r="AJ242" s="5">
        <v>10</v>
      </c>
      <c r="AK242" s="5" t="s">
        <v>34</v>
      </c>
    </row>
    <row r="243" spans="1:37" x14ac:dyDescent="0.3">
      <c r="A243" s="5">
        <v>251</v>
      </c>
      <c r="B243" s="5" t="s">
        <v>39</v>
      </c>
      <c r="C243" s="5">
        <v>37</v>
      </c>
      <c r="D243" s="2">
        <v>6</v>
      </c>
      <c r="E243" s="5">
        <v>170</v>
      </c>
      <c r="F243" s="5">
        <v>80</v>
      </c>
      <c r="G243" s="6">
        <v>27.681660899653977</v>
      </c>
      <c r="H243" s="9" t="s">
        <v>42</v>
      </c>
      <c r="I243" s="2">
        <v>36</v>
      </c>
      <c r="J243" s="5" t="s">
        <v>44</v>
      </c>
      <c r="K243" s="5" t="s">
        <v>45</v>
      </c>
      <c r="L243" s="5" t="s">
        <v>44</v>
      </c>
      <c r="M243" s="5" t="s">
        <v>44</v>
      </c>
      <c r="N243" s="5">
        <v>57.04</v>
      </c>
      <c r="O243" s="5">
        <v>41.14</v>
      </c>
      <c r="P243" s="5">
        <v>0.44</v>
      </c>
      <c r="Q243" s="5">
        <v>0.09</v>
      </c>
      <c r="R243" s="5">
        <v>0.35</v>
      </c>
      <c r="S243" s="8">
        <v>0.72124824684431976</v>
      </c>
      <c r="T243" s="5" t="s">
        <v>44</v>
      </c>
      <c r="Y243" s="5" t="s">
        <v>44</v>
      </c>
      <c r="AB243" s="9" t="s">
        <v>44</v>
      </c>
      <c r="AC243" s="2" t="s">
        <v>46</v>
      </c>
      <c r="AD243" s="2">
        <v>0</v>
      </c>
      <c r="AE243" s="2" t="s">
        <v>49</v>
      </c>
      <c r="AF243" s="2" t="s">
        <v>85</v>
      </c>
      <c r="AG243" s="5">
        <v>1</v>
      </c>
      <c r="AH243" s="5" t="s">
        <v>37</v>
      </c>
      <c r="AI243" s="5" t="s">
        <v>37</v>
      </c>
      <c r="AJ243" s="5">
        <v>26</v>
      </c>
      <c r="AK243" s="5" t="s">
        <v>35</v>
      </c>
    </row>
    <row r="244" spans="1:37" x14ac:dyDescent="0.3">
      <c r="A244" s="5">
        <v>252</v>
      </c>
      <c r="B244" s="5" t="s">
        <v>39</v>
      </c>
      <c r="C244" s="5">
        <v>23</v>
      </c>
      <c r="D244" s="2">
        <v>3</v>
      </c>
      <c r="E244" s="5">
        <v>162</v>
      </c>
      <c r="F244" s="5">
        <v>52</v>
      </c>
      <c r="G244" s="6">
        <v>19.814052735863434</v>
      </c>
      <c r="H244" s="9" t="s">
        <v>33</v>
      </c>
      <c r="I244" s="2">
        <v>30</v>
      </c>
      <c r="J244" s="5" t="s">
        <v>44</v>
      </c>
      <c r="K244" s="5" t="s">
        <v>44</v>
      </c>
      <c r="L244" s="5" t="s">
        <v>44</v>
      </c>
      <c r="M244" s="5" t="s">
        <v>45</v>
      </c>
      <c r="N244" s="5">
        <v>19.7</v>
      </c>
      <c r="O244" s="5">
        <v>35.6</v>
      </c>
      <c r="P244" s="5">
        <v>0.13</v>
      </c>
      <c r="Q244" s="5">
        <v>0.03</v>
      </c>
      <c r="R244" s="5">
        <v>0.1</v>
      </c>
      <c r="S244" s="8">
        <v>1.8071065989847717</v>
      </c>
      <c r="T244" s="5" t="s">
        <v>44</v>
      </c>
      <c r="Y244" s="5" t="s">
        <v>44</v>
      </c>
      <c r="AB244" s="9" t="s">
        <v>44</v>
      </c>
      <c r="AC244" s="2" t="s">
        <v>46</v>
      </c>
      <c r="AD244" s="2">
        <v>0</v>
      </c>
      <c r="AE244" s="2" t="s">
        <v>52</v>
      </c>
      <c r="AF244" s="2" t="s">
        <v>33</v>
      </c>
      <c r="AG244" s="5">
        <v>0</v>
      </c>
      <c r="AH244" s="5" t="s">
        <v>33</v>
      </c>
      <c r="AI244" s="5" t="s">
        <v>33</v>
      </c>
      <c r="AJ244" s="5">
        <v>6</v>
      </c>
      <c r="AK244" s="5" t="s">
        <v>34</v>
      </c>
    </row>
    <row r="245" spans="1:37" x14ac:dyDescent="0.3">
      <c r="A245" s="5">
        <v>253</v>
      </c>
      <c r="B245" s="5" t="s">
        <v>39</v>
      </c>
      <c r="C245" s="5">
        <v>21</v>
      </c>
      <c r="D245" s="2">
        <v>1</v>
      </c>
      <c r="E245" s="5">
        <v>168</v>
      </c>
      <c r="F245" s="5">
        <v>60</v>
      </c>
      <c r="G245" s="6">
        <v>21.258503401360546</v>
      </c>
      <c r="H245" s="9" t="s">
        <v>33</v>
      </c>
      <c r="I245" s="2">
        <v>34</v>
      </c>
      <c r="J245" s="5" t="s">
        <v>44</v>
      </c>
      <c r="K245" s="5" t="s">
        <v>44</v>
      </c>
      <c r="L245" s="5" t="s">
        <v>44</v>
      </c>
      <c r="M245" s="5" t="s">
        <v>44</v>
      </c>
      <c r="N245" s="5">
        <v>43.68</v>
      </c>
      <c r="O245" s="5">
        <v>38.36</v>
      </c>
      <c r="P245" s="5">
        <v>0.3</v>
      </c>
      <c r="Q245" s="5">
        <v>0.05</v>
      </c>
      <c r="R245" s="5">
        <v>0.25</v>
      </c>
      <c r="S245" s="8">
        <v>0.87820512820512819</v>
      </c>
      <c r="T245" s="5" t="s">
        <v>44</v>
      </c>
      <c r="Y245" s="5" t="s">
        <v>44</v>
      </c>
      <c r="AB245" s="9" t="s">
        <v>44</v>
      </c>
      <c r="AC245" s="2" t="s">
        <v>46</v>
      </c>
      <c r="AD245" s="2">
        <v>0</v>
      </c>
      <c r="AE245" s="2" t="s">
        <v>49</v>
      </c>
      <c r="AF245" s="2" t="s">
        <v>33</v>
      </c>
      <c r="AG245" s="5">
        <v>0</v>
      </c>
      <c r="AH245" s="5" t="s">
        <v>33</v>
      </c>
      <c r="AI245" s="5" t="s">
        <v>33</v>
      </c>
      <c r="AJ245" s="5">
        <v>8</v>
      </c>
      <c r="AK245" s="5" t="s">
        <v>34</v>
      </c>
    </row>
    <row r="246" spans="1:37" ht="28.8" x14ac:dyDescent="0.3">
      <c r="A246" s="5">
        <v>254</v>
      </c>
      <c r="B246" s="5" t="s">
        <v>39</v>
      </c>
      <c r="C246" s="5">
        <v>32</v>
      </c>
      <c r="D246" s="2">
        <v>3</v>
      </c>
      <c r="E246" s="5">
        <v>168</v>
      </c>
      <c r="F246" s="5">
        <v>46</v>
      </c>
      <c r="G246" s="6">
        <v>16.298185941043084</v>
      </c>
      <c r="H246" s="9" t="s">
        <v>43</v>
      </c>
      <c r="I246" s="2">
        <v>28</v>
      </c>
      <c r="J246" s="5" t="s">
        <v>44</v>
      </c>
      <c r="K246" s="5" t="s">
        <v>44</v>
      </c>
      <c r="L246" s="5" t="s">
        <v>44</v>
      </c>
      <c r="M246" s="5" t="s">
        <v>44</v>
      </c>
      <c r="N246" s="5">
        <v>18.3</v>
      </c>
      <c r="O246" s="5">
        <v>39.200000000000003</v>
      </c>
      <c r="P246" s="5">
        <v>0.86</v>
      </c>
      <c r="Q246" s="5">
        <v>0.2</v>
      </c>
      <c r="R246" s="5">
        <v>0.66</v>
      </c>
      <c r="S246" s="8">
        <v>2.1420765027322406</v>
      </c>
      <c r="T246" s="5" t="s">
        <v>45</v>
      </c>
      <c r="U246" s="5" t="s">
        <v>57</v>
      </c>
      <c r="V246" s="5" t="s">
        <v>61</v>
      </c>
      <c r="W246" s="5" t="s">
        <v>65</v>
      </c>
      <c r="X246" s="5" t="s">
        <v>68</v>
      </c>
      <c r="Y246" s="5" t="s">
        <v>44</v>
      </c>
      <c r="AB246" s="9" t="s">
        <v>44</v>
      </c>
      <c r="AC246" s="2" t="s">
        <v>47</v>
      </c>
      <c r="AD246" s="2">
        <v>0</v>
      </c>
      <c r="AE246" s="2" t="s">
        <v>52</v>
      </c>
      <c r="AF246" s="2" t="s">
        <v>33</v>
      </c>
      <c r="AG246" s="5">
        <v>0</v>
      </c>
      <c r="AH246" s="5" t="s">
        <v>33</v>
      </c>
      <c r="AI246" s="5" t="s">
        <v>33</v>
      </c>
      <c r="AJ246" s="5">
        <v>13</v>
      </c>
      <c r="AK246" s="5" t="s">
        <v>34</v>
      </c>
    </row>
    <row r="247" spans="1:37" x14ac:dyDescent="0.3">
      <c r="A247" s="5">
        <v>256</v>
      </c>
      <c r="B247" s="5" t="s">
        <v>39</v>
      </c>
      <c r="C247" s="5">
        <v>32</v>
      </c>
      <c r="D247" s="2">
        <v>10</v>
      </c>
      <c r="E247" s="5">
        <v>171</v>
      </c>
      <c r="F247" s="5">
        <v>84</v>
      </c>
      <c r="G247" s="6">
        <v>28.726787729557813</v>
      </c>
      <c r="H247" s="9" t="s">
        <v>42</v>
      </c>
      <c r="I247" s="2">
        <v>34</v>
      </c>
      <c r="J247" s="5" t="s">
        <v>44</v>
      </c>
      <c r="K247" s="5" t="s">
        <v>44</v>
      </c>
      <c r="L247" s="5" t="s">
        <v>44</v>
      </c>
      <c r="M247" s="5" t="s">
        <v>44</v>
      </c>
      <c r="N247" s="5">
        <v>76.599999999999994</v>
      </c>
      <c r="O247" s="5">
        <v>32.9</v>
      </c>
      <c r="P247" s="5">
        <v>0.41</v>
      </c>
      <c r="Q247" s="5">
        <v>0.12</v>
      </c>
      <c r="R247" s="5">
        <v>0.28999999999999998</v>
      </c>
      <c r="S247" s="8">
        <v>0.4295039164490862</v>
      </c>
      <c r="T247" s="5" t="s">
        <v>44</v>
      </c>
      <c r="Y247" s="5" t="s">
        <v>44</v>
      </c>
      <c r="AB247" s="9" t="s">
        <v>44</v>
      </c>
      <c r="AC247" s="2" t="s">
        <v>46</v>
      </c>
      <c r="AD247" s="2">
        <v>0</v>
      </c>
      <c r="AE247" s="2" t="s">
        <v>52</v>
      </c>
      <c r="AF247" s="2" t="s">
        <v>85</v>
      </c>
      <c r="AG247" s="5">
        <v>1</v>
      </c>
      <c r="AH247" s="5" t="s">
        <v>37</v>
      </c>
      <c r="AI247" s="5" t="s">
        <v>37</v>
      </c>
      <c r="AJ247" s="5">
        <v>22</v>
      </c>
      <c r="AK247" s="5" t="s">
        <v>35</v>
      </c>
    </row>
    <row r="248" spans="1:37" x14ac:dyDescent="0.3">
      <c r="A248" s="5">
        <v>257</v>
      </c>
      <c r="B248" s="5" t="s">
        <v>39</v>
      </c>
      <c r="C248" s="5">
        <v>29</v>
      </c>
      <c r="D248" s="2">
        <v>6</v>
      </c>
      <c r="E248" s="5">
        <v>164</v>
      </c>
      <c r="F248" s="5">
        <v>78</v>
      </c>
      <c r="G248" s="6">
        <v>29.000594883997621</v>
      </c>
      <c r="H248" s="9" t="s">
        <v>42</v>
      </c>
      <c r="I248" s="2">
        <v>34</v>
      </c>
      <c r="J248" s="5" t="s">
        <v>44</v>
      </c>
      <c r="K248" s="5" t="s">
        <v>44</v>
      </c>
      <c r="L248" s="5" t="s">
        <v>44</v>
      </c>
      <c r="M248" s="5" t="s">
        <v>44</v>
      </c>
      <c r="N248" s="5">
        <v>17.46</v>
      </c>
      <c r="O248" s="5">
        <v>19.86</v>
      </c>
      <c r="P248" s="5">
        <v>0.57999999999999996</v>
      </c>
      <c r="Q248" s="5">
        <v>0.09</v>
      </c>
      <c r="R248" s="5">
        <v>0.49</v>
      </c>
      <c r="S248" s="8">
        <v>1.1374570446735395</v>
      </c>
      <c r="T248" s="5" t="s">
        <v>44</v>
      </c>
      <c r="Y248" s="5" t="s">
        <v>44</v>
      </c>
      <c r="AB248" s="9" t="s">
        <v>44</v>
      </c>
      <c r="AC248" s="2" t="s">
        <v>46</v>
      </c>
      <c r="AD248" s="2">
        <v>0</v>
      </c>
      <c r="AE248" s="2" t="s">
        <v>52</v>
      </c>
      <c r="AF248" s="2" t="s">
        <v>33</v>
      </c>
      <c r="AG248" s="5">
        <v>0</v>
      </c>
      <c r="AH248" s="5" t="s">
        <v>33</v>
      </c>
      <c r="AI248" s="5" t="s">
        <v>33</v>
      </c>
      <c r="AJ248" s="5">
        <v>16</v>
      </c>
      <c r="AK248" s="5" t="s">
        <v>34</v>
      </c>
    </row>
    <row r="249" spans="1:37" x14ac:dyDescent="0.3">
      <c r="A249" s="5">
        <v>258</v>
      </c>
      <c r="B249" s="5" t="s">
        <v>39</v>
      </c>
      <c r="C249" s="5">
        <v>40</v>
      </c>
      <c r="D249" s="2">
        <v>12</v>
      </c>
      <c r="E249" s="5">
        <v>160</v>
      </c>
      <c r="F249" s="5">
        <v>74</v>
      </c>
      <c r="G249" s="6">
        <v>28.90625</v>
      </c>
      <c r="H249" s="9" t="s">
        <v>42</v>
      </c>
      <c r="I249" s="2">
        <v>34</v>
      </c>
      <c r="J249" s="5" t="s">
        <v>44</v>
      </c>
      <c r="K249" s="5" t="s">
        <v>44</v>
      </c>
      <c r="L249" s="5" t="s">
        <v>44</v>
      </c>
      <c r="M249" s="5" t="s">
        <v>44</v>
      </c>
      <c r="N249" s="5">
        <v>31.4</v>
      </c>
      <c r="O249" s="5">
        <v>35.200000000000003</v>
      </c>
      <c r="P249" s="5">
        <v>0.32</v>
      </c>
      <c r="Q249" s="5">
        <v>0.12</v>
      </c>
      <c r="R249" s="5">
        <v>0.2</v>
      </c>
      <c r="S249" s="8">
        <v>1.121019108280255</v>
      </c>
      <c r="T249" s="5" t="s">
        <v>44</v>
      </c>
      <c r="Y249" s="5" t="s">
        <v>44</v>
      </c>
      <c r="AB249" s="9" t="s">
        <v>44</v>
      </c>
      <c r="AC249" s="2" t="s">
        <v>47</v>
      </c>
      <c r="AD249" s="2">
        <v>0</v>
      </c>
      <c r="AE249" s="2" t="s">
        <v>49</v>
      </c>
      <c r="AF249" s="2" t="s">
        <v>33</v>
      </c>
      <c r="AG249" s="5">
        <v>0</v>
      </c>
      <c r="AH249" s="5" t="s">
        <v>33</v>
      </c>
      <c r="AI249" s="5" t="s">
        <v>33</v>
      </c>
      <c r="AJ249" s="5">
        <v>15</v>
      </c>
      <c r="AK249" s="5" t="s">
        <v>34</v>
      </c>
    </row>
    <row r="250" spans="1:37" ht="28.8" x14ac:dyDescent="0.3">
      <c r="A250" s="5">
        <v>259</v>
      </c>
      <c r="B250" s="5" t="s">
        <v>39</v>
      </c>
      <c r="C250" s="5">
        <v>32</v>
      </c>
      <c r="D250" s="2">
        <v>8</v>
      </c>
      <c r="E250" s="5">
        <v>158</v>
      </c>
      <c r="F250" s="5">
        <v>63</v>
      </c>
      <c r="G250" s="6">
        <v>25.236340330075311</v>
      </c>
      <c r="H250" s="9" t="s">
        <v>42</v>
      </c>
      <c r="I250" s="2">
        <v>32</v>
      </c>
      <c r="J250" s="5" t="s">
        <v>44</v>
      </c>
      <c r="K250" s="5" t="s">
        <v>44</v>
      </c>
      <c r="L250" s="5" t="s">
        <v>44</v>
      </c>
      <c r="M250" s="5" t="s">
        <v>44</v>
      </c>
      <c r="N250" s="5">
        <v>27.7</v>
      </c>
      <c r="O250" s="5">
        <v>38.6</v>
      </c>
      <c r="P250" s="5">
        <v>0.33</v>
      </c>
      <c r="Q250" s="5">
        <v>0.1</v>
      </c>
      <c r="R250" s="5">
        <v>0.23</v>
      </c>
      <c r="S250" s="8">
        <v>1.3935018050541517</v>
      </c>
      <c r="T250" s="5" t="s">
        <v>45</v>
      </c>
      <c r="U250" s="5" t="s">
        <v>57</v>
      </c>
      <c r="V250" s="5" t="s">
        <v>61</v>
      </c>
      <c r="W250" s="5" t="s">
        <v>65</v>
      </c>
      <c r="X250" s="5" t="s">
        <v>68</v>
      </c>
      <c r="Y250" s="5" t="s">
        <v>44</v>
      </c>
      <c r="AB250" s="9" t="s">
        <v>44</v>
      </c>
      <c r="AC250" s="2" t="s">
        <v>46</v>
      </c>
      <c r="AD250" s="2">
        <v>0</v>
      </c>
      <c r="AE250" s="2" t="s">
        <v>52</v>
      </c>
      <c r="AF250" s="2" t="s">
        <v>33</v>
      </c>
      <c r="AG250" s="5">
        <v>0</v>
      </c>
      <c r="AH250" s="5" t="s">
        <v>33</v>
      </c>
      <c r="AI250" s="5" t="s">
        <v>33</v>
      </c>
      <c r="AJ250" s="5">
        <v>20</v>
      </c>
      <c r="AK250" s="5" t="s">
        <v>34</v>
      </c>
    </row>
    <row r="251" spans="1:37" x14ac:dyDescent="0.3">
      <c r="A251" s="5">
        <v>260</v>
      </c>
      <c r="B251" s="5" t="s">
        <v>39</v>
      </c>
      <c r="C251" s="5">
        <v>43</v>
      </c>
      <c r="D251" s="2">
        <v>20</v>
      </c>
      <c r="E251" s="5">
        <v>160</v>
      </c>
      <c r="F251" s="5">
        <v>62</v>
      </c>
      <c r="G251" s="6">
        <v>24.21875</v>
      </c>
      <c r="H251" s="9" t="s">
        <v>33</v>
      </c>
      <c r="I251" s="2">
        <v>30</v>
      </c>
      <c r="J251" s="5" t="s">
        <v>44</v>
      </c>
      <c r="K251" s="5" t="s">
        <v>44</v>
      </c>
      <c r="L251" s="5" t="s">
        <v>44</v>
      </c>
      <c r="M251" s="5" t="s">
        <v>44</v>
      </c>
      <c r="N251" s="5">
        <v>31.9</v>
      </c>
      <c r="O251" s="5">
        <v>56.8</v>
      </c>
      <c r="P251" s="5">
        <v>0.3</v>
      </c>
      <c r="Q251" s="5">
        <v>0.08</v>
      </c>
      <c r="R251" s="5">
        <v>0.22</v>
      </c>
      <c r="S251" s="8">
        <v>1.780564263322884</v>
      </c>
      <c r="T251" s="5" t="s">
        <v>44</v>
      </c>
      <c r="Y251" s="5" t="s">
        <v>44</v>
      </c>
      <c r="AB251" s="9" t="s">
        <v>44</v>
      </c>
      <c r="AC251" s="2" t="s">
        <v>46</v>
      </c>
      <c r="AD251" s="2">
        <v>0</v>
      </c>
      <c r="AE251" s="2" t="s">
        <v>49</v>
      </c>
      <c r="AF251" s="2" t="s">
        <v>85</v>
      </c>
      <c r="AG251" s="5">
        <v>1</v>
      </c>
      <c r="AH251" s="5" t="s">
        <v>88</v>
      </c>
      <c r="AI251" s="5" t="s">
        <v>88</v>
      </c>
      <c r="AJ251" s="5">
        <v>10</v>
      </c>
      <c r="AK251" s="5" t="s">
        <v>34</v>
      </c>
    </row>
    <row r="252" spans="1:37" ht="28.8" x14ac:dyDescent="0.3">
      <c r="A252" s="5">
        <v>261</v>
      </c>
      <c r="B252" s="5" t="s">
        <v>39</v>
      </c>
      <c r="C252" s="5">
        <v>31</v>
      </c>
      <c r="D252" s="2">
        <v>7</v>
      </c>
      <c r="E252" s="5">
        <v>175</v>
      </c>
      <c r="F252" s="5">
        <v>70</v>
      </c>
      <c r="G252" s="6">
        <v>22.857142857142858</v>
      </c>
      <c r="H252" s="9" t="s">
        <v>33</v>
      </c>
      <c r="I252" s="2">
        <v>32</v>
      </c>
      <c r="J252" s="5" t="s">
        <v>44</v>
      </c>
      <c r="K252" s="5" t="s">
        <v>44</v>
      </c>
      <c r="L252" s="5" t="s">
        <v>44</v>
      </c>
      <c r="M252" s="5" t="s">
        <v>45</v>
      </c>
      <c r="N252" s="5">
        <v>51.7</v>
      </c>
      <c r="O252" s="5">
        <v>32.799999999999997</v>
      </c>
      <c r="P252" s="5">
        <v>0.2</v>
      </c>
      <c r="Q252" s="5">
        <v>7.0000000000000007E-2</v>
      </c>
      <c r="R252" s="5">
        <v>0.13</v>
      </c>
      <c r="S252" s="8">
        <v>0.63442940038684714</v>
      </c>
      <c r="T252" s="5" t="s">
        <v>45</v>
      </c>
      <c r="U252" s="5" t="s">
        <v>56</v>
      </c>
      <c r="V252" s="5" t="s">
        <v>61</v>
      </c>
      <c r="W252" s="5" t="s">
        <v>65</v>
      </c>
      <c r="X252" s="5" t="s">
        <v>67</v>
      </c>
      <c r="Y252" s="5" t="s">
        <v>44</v>
      </c>
      <c r="AB252" s="9" t="s">
        <v>44</v>
      </c>
      <c r="AC252" s="2" t="s">
        <v>46</v>
      </c>
      <c r="AD252" s="2">
        <v>0</v>
      </c>
      <c r="AE252" s="2" t="s">
        <v>52</v>
      </c>
      <c r="AF252" s="2" t="s">
        <v>33</v>
      </c>
      <c r="AG252" s="5">
        <v>0</v>
      </c>
      <c r="AH252" s="5" t="s">
        <v>33</v>
      </c>
      <c r="AI252" s="5" t="s">
        <v>33</v>
      </c>
      <c r="AJ252" s="5">
        <v>17</v>
      </c>
      <c r="AK252" s="5" t="s">
        <v>34</v>
      </c>
    </row>
    <row r="253" spans="1:37" x14ac:dyDescent="0.3">
      <c r="A253" s="5">
        <v>262</v>
      </c>
      <c r="B253" s="5" t="s">
        <v>39</v>
      </c>
      <c r="C253" s="5">
        <v>30</v>
      </c>
      <c r="D253" s="2">
        <v>6</v>
      </c>
      <c r="E253" s="5">
        <v>170</v>
      </c>
      <c r="F253" s="5">
        <v>65</v>
      </c>
      <c r="G253" s="6">
        <v>22.491349480968861</v>
      </c>
      <c r="H253" s="9" t="s">
        <v>33</v>
      </c>
      <c r="I253" s="2">
        <v>32</v>
      </c>
      <c r="J253" s="5" t="s">
        <v>44</v>
      </c>
      <c r="K253" s="5" t="s">
        <v>44</v>
      </c>
      <c r="L253" s="5" t="s">
        <v>44</v>
      </c>
      <c r="M253" s="5" t="s">
        <v>44</v>
      </c>
      <c r="N253" s="5">
        <v>40.159999999999997</v>
      </c>
      <c r="O253" s="5">
        <v>40.85</v>
      </c>
      <c r="P253" s="5">
        <v>0.63</v>
      </c>
      <c r="Q253" s="5">
        <v>0.1</v>
      </c>
      <c r="R253" s="5">
        <v>0.53</v>
      </c>
      <c r="S253" s="8">
        <v>1.0171812749003986</v>
      </c>
      <c r="T253" s="5" t="s">
        <v>44</v>
      </c>
      <c r="Y253" s="5" t="s">
        <v>44</v>
      </c>
      <c r="AB253" s="9" t="s">
        <v>44</v>
      </c>
      <c r="AC253" s="2" t="s">
        <v>47</v>
      </c>
      <c r="AD253" s="2">
        <v>0</v>
      </c>
      <c r="AE253" s="2" t="s">
        <v>52</v>
      </c>
      <c r="AF253" s="2" t="s">
        <v>85</v>
      </c>
      <c r="AG253" s="5">
        <v>1</v>
      </c>
      <c r="AH253" s="5" t="s">
        <v>88</v>
      </c>
      <c r="AI253" s="5" t="s">
        <v>88</v>
      </c>
      <c r="AJ253" s="5">
        <v>10</v>
      </c>
      <c r="AK253" s="5" t="s">
        <v>34</v>
      </c>
    </row>
    <row r="254" spans="1:37" ht="28.8" x14ac:dyDescent="0.3">
      <c r="A254" s="5">
        <v>263</v>
      </c>
      <c r="B254" s="5" t="s">
        <v>39</v>
      </c>
      <c r="C254" s="5">
        <v>26</v>
      </c>
      <c r="D254" s="2">
        <v>5</v>
      </c>
      <c r="E254" s="5">
        <v>167</v>
      </c>
      <c r="F254" s="5">
        <v>65</v>
      </c>
      <c r="G254" s="6">
        <v>23.306680053067517</v>
      </c>
      <c r="H254" s="9" t="s">
        <v>33</v>
      </c>
      <c r="I254" s="2">
        <v>32</v>
      </c>
      <c r="J254" s="5" t="s">
        <v>44</v>
      </c>
      <c r="K254" s="5" t="s">
        <v>44</v>
      </c>
      <c r="L254" s="5" t="s">
        <v>44</v>
      </c>
      <c r="M254" s="5" t="s">
        <v>44</v>
      </c>
      <c r="N254" s="5">
        <v>35.6</v>
      </c>
      <c r="O254" s="5">
        <v>37.200000000000003</v>
      </c>
      <c r="P254" s="5">
        <v>1.25</v>
      </c>
      <c r="Q254" s="5">
        <v>0.23</v>
      </c>
      <c r="R254" s="5">
        <v>1.02</v>
      </c>
      <c r="S254" s="8">
        <v>1.0449438202247192</v>
      </c>
      <c r="T254" s="5" t="s">
        <v>45</v>
      </c>
      <c r="U254" s="5" t="s">
        <v>57</v>
      </c>
      <c r="V254" s="5" t="s">
        <v>61</v>
      </c>
      <c r="W254" s="5" t="s">
        <v>65</v>
      </c>
      <c r="X254" s="5" t="s">
        <v>67</v>
      </c>
      <c r="Y254" s="5" t="s">
        <v>44</v>
      </c>
      <c r="AB254" s="9" t="s">
        <v>44</v>
      </c>
      <c r="AC254" s="2" t="s">
        <v>46</v>
      </c>
      <c r="AD254" s="2">
        <v>0</v>
      </c>
      <c r="AE254" s="2" t="s">
        <v>49</v>
      </c>
      <c r="AF254" s="2" t="s">
        <v>33</v>
      </c>
      <c r="AG254" s="5">
        <v>0</v>
      </c>
      <c r="AH254" s="5" t="s">
        <v>33</v>
      </c>
      <c r="AI254" s="5" t="s">
        <v>33</v>
      </c>
      <c r="AJ254" s="5">
        <v>16</v>
      </c>
      <c r="AK254" s="5" t="s">
        <v>34</v>
      </c>
    </row>
    <row r="255" spans="1:37" x14ac:dyDescent="0.3">
      <c r="A255" s="5">
        <v>264</v>
      </c>
      <c r="B255" s="5" t="s">
        <v>39</v>
      </c>
      <c r="C255" s="5">
        <v>25</v>
      </c>
      <c r="D255" s="2">
        <v>2</v>
      </c>
      <c r="E255" s="5">
        <v>188</v>
      </c>
      <c r="F255" s="5">
        <v>64</v>
      </c>
      <c r="G255" s="6">
        <v>18.107741059302853</v>
      </c>
      <c r="H255" s="9" t="s">
        <v>43</v>
      </c>
      <c r="I255" s="2">
        <v>30</v>
      </c>
      <c r="J255" s="5" t="s">
        <v>44</v>
      </c>
      <c r="K255" s="5" t="s">
        <v>44</v>
      </c>
      <c r="L255" s="5" t="s">
        <v>44</v>
      </c>
      <c r="M255" s="5" t="s">
        <v>44</v>
      </c>
      <c r="N255" s="5">
        <v>15.63</v>
      </c>
      <c r="O255" s="5">
        <v>29.08</v>
      </c>
      <c r="P255" s="5">
        <v>1.7</v>
      </c>
      <c r="Q255" s="5">
        <v>0.25</v>
      </c>
      <c r="R255" s="5">
        <v>1.45</v>
      </c>
      <c r="S255" s="8">
        <v>1.8605246321177222</v>
      </c>
      <c r="T255" s="5" t="s">
        <v>44</v>
      </c>
      <c r="Y255" s="5" t="s">
        <v>44</v>
      </c>
      <c r="AB255" s="9" t="s">
        <v>44</v>
      </c>
      <c r="AC255" s="2" t="s">
        <v>47</v>
      </c>
      <c r="AD255" s="2">
        <v>0</v>
      </c>
      <c r="AE255" s="2" t="s">
        <v>52</v>
      </c>
      <c r="AF255" s="2" t="s">
        <v>85</v>
      </c>
      <c r="AG255" s="5">
        <v>1</v>
      </c>
      <c r="AH255" s="5" t="s">
        <v>87</v>
      </c>
      <c r="AI255" s="5" t="s">
        <v>87</v>
      </c>
      <c r="AJ255" s="5">
        <v>6</v>
      </c>
      <c r="AK255" s="5" t="s">
        <v>34</v>
      </c>
    </row>
    <row r="256" spans="1:37" x14ac:dyDescent="0.3">
      <c r="A256" s="5">
        <v>265</v>
      </c>
      <c r="B256" s="5" t="s">
        <v>39</v>
      </c>
      <c r="C256" s="5">
        <v>29</v>
      </c>
      <c r="D256" s="2">
        <v>6</v>
      </c>
      <c r="E256" s="5">
        <v>162</v>
      </c>
      <c r="F256" s="5">
        <v>64</v>
      </c>
      <c r="G256" s="6">
        <v>24.386526444139612</v>
      </c>
      <c r="H256" s="9" t="s">
        <v>33</v>
      </c>
      <c r="I256" s="2">
        <v>32</v>
      </c>
      <c r="J256" s="5" t="s">
        <v>44</v>
      </c>
      <c r="K256" s="5" t="s">
        <v>44</v>
      </c>
      <c r="L256" s="5" t="s">
        <v>44</v>
      </c>
      <c r="M256" s="5" t="s">
        <v>44</v>
      </c>
      <c r="N256" s="5">
        <v>18.649999999999999</v>
      </c>
      <c r="O256" s="5">
        <v>25.74</v>
      </c>
      <c r="P256" s="5">
        <v>0.35</v>
      </c>
      <c r="Q256" s="5">
        <v>0.08</v>
      </c>
      <c r="R256" s="5">
        <v>0.27</v>
      </c>
      <c r="S256" s="8">
        <v>1.3801608579088471</v>
      </c>
      <c r="T256" s="5" t="s">
        <v>44</v>
      </c>
      <c r="Y256" s="5" t="s">
        <v>44</v>
      </c>
      <c r="AB256" s="9" t="s">
        <v>44</v>
      </c>
      <c r="AC256" s="2" t="s">
        <v>46</v>
      </c>
      <c r="AD256" s="2">
        <v>0</v>
      </c>
      <c r="AE256" s="2" t="s">
        <v>49</v>
      </c>
      <c r="AF256" s="2" t="s">
        <v>33</v>
      </c>
      <c r="AG256" s="5">
        <v>0</v>
      </c>
      <c r="AH256" s="5" t="s">
        <v>33</v>
      </c>
      <c r="AI256" s="5" t="s">
        <v>33</v>
      </c>
      <c r="AJ256" s="5">
        <v>6</v>
      </c>
      <c r="AK256" s="5" t="s">
        <v>34</v>
      </c>
    </row>
    <row r="257" spans="1:37" x14ac:dyDescent="0.3">
      <c r="A257" s="5">
        <v>266</v>
      </c>
      <c r="B257" s="5" t="s">
        <v>39</v>
      </c>
      <c r="C257" s="5">
        <v>27</v>
      </c>
      <c r="D257" s="2">
        <v>3</v>
      </c>
      <c r="E257" s="5">
        <v>165</v>
      </c>
      <c r="F257" s="5">
        <v>59</v>
      </c>
      <c r="G257" s="6">
        <v>21.671258034894397</v>
      </c>
      <c r="H257" s="9" t="s">
        <v>33</v>
      </c>
      <c r="I257" s="2">
        <v>32</v>
      </c>
      <c r="J257" s="5" t="s">
        <v>44</v>
      </c>
      <c r="K257" s="5" t="s">
        <v>44</v>
      </c>
      <c r="L257" s="5" t="s">
        <v>44</v>
      </c>
      <c r="M257" s="5" t="s">
        <v>44</v>
      </c>
      <c r="N257" s="5">
        <v>32</v>
      </c>
      <c r="O257" s="5">
        <v>32.1</v>
      </c>
      <c r="P257" s="5">
        <v>0.36</v>
      </c>
      <c r="Q257" s="5">
        <v>0.1</v>
      </c>
      <c r="R257" s="5">
        <v>0.26</v>
      </c>
      <c r="S257" s="8">
        <v>1.003125</v>
      </c>
      <c r="T257" s="5" t="s">
        <v>44</v>
      </c>
      <c r="Y257" s="5" t="s">
        <v>44</v>
      </c>
      <c r="AB257" s="9" t="s">
        <v>44</v>
      </c>
      <c r="AC257" s="2" t="s">
        <v>46</v>
      </c>
      <c r="AD257" s="2">
        <v>0</v>
      </c>
      <c r="AE257" s="2" t="s">
        <v>49</v>
      </c>
      <c r="AF257" s="2" t="s">
        <v>33</v>
      </c>
      <c r="AG257" s="5">
        <v>0</v>
      </c>
      <c r="AH257" s="5" t="s">
        <v>33</v>
      </c>
      <c r="AI257" s="5" t="s">
        <v>33</v>
      </c>
      <c r="AJ257" s="5">
        <v>6</v>
      </c>
      <c r="AK257" s="5" t="s">
        <v>34</v>
      </c>
    </row>
    <row r="258" spans="1:37" x14ac:dyDescent="0.3">
      <c r="A258" s="5">
        <v>267</v>
      </c>
      <c r="B258" s="5" t="s">
        <v>39</v>
      </c>
      <c r="C258" s="5">
        <v>38</v>
      </c>
      <c r="D258" s="2">
        <v>10</v>
      </c>
      <c r="E258" s="5">
        <v>158</v>
      </c>
      <c r="F258" s="5">
        <v>52</v>
      </c>
      <c r="G258" s="6">
        <v>20.829995193078034</v>
      </c>
      <c r="H258" s="9" t="s">
        <v>33</v>
      </c>
      <c r="I258" s="2">
        <v>28</v>
      </c>
      <c r="J258" s="5" t="s">
        <v>44</v>
      </c>
      <c r="K258" s="5" t="s">
        <v>44</v>
      </c>
      <c r="L258" s="5" t="s">
        <v>44</v>
      </c>
      <c r="M258" s="5" t="s">
        <v>44</v>
      </c>
      <c r="N258" s="5">
        <v>21.5</v>
      </c>
      <c r="O258" s="5">
        <v>35.200000000000003</v>
      </c>
      <c r="P258" s="5">
        <v>1.18</v>
      </c>
      <c r="Q258" s="5">
        <v>0.28999999999999998</v>
      </c>
      <c r="R258" s="5">
        <v>0.89</v>
      </c>
      <c r="S258" s="8">
        <v>1.6372093023255816</v>
      </c>
      <c r="T258" s="5" t="s">
        <v>44</v>
      </c>
      <c r="Y258" s="5" t="s">
        <v>44</v>
      </c>
      <c r="AB258" s="9" t="s">
        <v>44</v>
      </c>
      <c r="AC258" s="2" t="s">
        <v>46</v>
      </c>
      <c r="AD258" s="2">
        <v>0</v>
      </c>
      <c r="AE258" s="2" t="s">
        <v>52</v>
      </c>
      <c r="AF258" s="2" t="s">
        <v>33</v>
      </c>
      <c r="AG258" s="5">
        <v>0</v>
      </c>
      <c r="AH258" s="5" t="s">
        <v>33</v>
      </c>
      <c r="AI258" s="5" t="s">
        <v>33</v>
      </c>
      <c r="AJ258" s="5">
        <v>8</v>
      </c>
      <c r="AK258" s="5" t="s">
        <v>34</v>
      </c>
    </row>
    <row r="259" spans="1:37" x14ac:dyDescent="0.3">
      <c r="A259" s="5">
        <v>268</v>
      </c>
      <c r="B259" s="5" t="s">
        <v>39</v>
      </c>
      <c r="C259" s="5">
        <v>33</v>
      </c>
      <c r="D259" s="2">
        <v>10</v>
      </c>
      <c r="E259" s="5">
        <v>168</v>
      </c>
      <c r="F259" s="5">
        <v>60</v>
      </c>
      <c r="G259" s="6">
        <v>21.258503401360546</v>
      </c>
      <c r="H259" s="9" t="s">
        <v>33</v>
      </c>
      <c r="I259" s="2">
        <v>28</v>
      </c>
      <c r="J259" s="5" t="s">
        <v>44</v>
      </c>
      <c r="K259" s="5" t="s">
        <v>44</v>
      </c>
      <c r="L259" s="5" t="s">
        <v>44</v>
      </c>
      <c r="M259" s="5" t="s">
        <v>44</v>
      </c>
      <c r="N259" s="5">
        <v>42.16</v>
      </c>
      <c r="O259" s="5">
        <v>63.67</v>
      </c>
      <c r="P259" s="5">
        <v>0.37</v>
      </c>
      <c r="Q259" s="5">
        <v>0.09</v>
      </c>
      <c r="R259" s="5">
        <v>0.28000000000000003</v>
      </c>
      <c r="S259" s="8">
        <v>1.5101992409867175</v>
      </c>
      <c r="T259" s="5" t="s">
        <v>44</v>
      </c>
      <c r="Y259" s="5" t="s">
        <v>44</v>
      </c>
      <c r="AB259" s="9" t="s">
        <v>44</v>
      </c>
      <c r="AC259" s="2" t="s">
        <v>46</v>
      </c>
      <c r="AD259" s="2">
        <v>0</v>
      </c>
      <c r="AE259" s="2" t="s">
        <v>52</v>
      </c>
      <c r="AF259" s="2" t="s">
        <v>85</v>
      </c>
      <c r="AG259" s="5">
        <v>1</v>
      </c>
      <c r="AH259" s="5" t="s">
        <v>88</v>
      </c>
      <c r="AI259" s="5" t="s">
        <v>88</v>
      </c>
      <c r="AJ259" s="5">
        <v>15</v>
      </c>
      <c r="AK259" s="5" t="s">
        <v>34</v>
      </c>
    </row>
    <row r="260" spans="1:37" ht="72" x14ac:dyDescent="0.3">
      <c r="A260" s="5">
        <v>269</v>
      </c>
      <c r="B260" s="5" t="s">
        <v>39</v>
      </c>
      <c r="C260" s="5">
        <v>35</v>
      </c>
      <c r="D260" s="2">
        <v>10</v>
      </c>
      <c r="E260" s="5">
        <v>165</v>
      </c>
      <c r="F260" s="5">
        <v>68</v>
      </c>
      <c r="G260" s="6">
        <v>24.977043158861338</v>
      </c>
      <c r="H260" s="9" t="s">
        <v>42</v>
      </c>
      <c r="I260" s="2">
        <v>34</v>
      </c>
      <c r="J260" s="5" t="s">
        <v>44</v>
      </c>
      <c r="K260" s="5" t="s">
        <v>44</v>
      </c>
      <c r="L260" s="5" t="s">
        <v>44</v>
      </c>
      <c r="M260" s="5" t="s">
        <v>44</v>
      </c>
      <c r="N260" s="5">
        <v>25.2</v>
      </c>
      <c r="O260" s="5">
        <v>32.090000000000003</v>
      </c>
      <c r="P260" s="5">
        <v>0.42</v>
      </c>
      <c r="Q260" s="5">
        <v>0.13</v>
      </c>
      <c r="R260" s="5">
        <v>0.28999999999999998</v>
      </c>
      <c r="S260" s="8">
        <v>1.2734126984126986</v>
      </c>
      <c r="T260" s="5" t="s">
        <v>45</v>
      </c>
      <c r="U260" s="5" t="s">
        <v>56</v>
      </c>
      <c r="V260" s="5" t="s">
        <v>61</v>
      </c>
      <c r="W260" s="5" t="s">
        <v>65</v>
      </c>
      <c r="X260" s="5" t="s">
        <v>69</v>
      </c>
      <c r="Y260" s="5" t="s">
        <v>44</v>
      </c>
      <c r="AB260" s="9" t="s">
        <v>44</v>
      </c>
      <c r="AC260" s="2" t="s">
        <v>46</v>
      </c>
      <c r="AD260" s="2">
        <v>0</v>
      </c>
      <c r="AE260" s="2" t="s">
        <v>49</v>
      </c>
      <c r="AF260" s="2" t="s">
        <v>33</v>
      </c>
      <c r="AG260" s="5">
        <v>0</v>
      </c>
      <c r="AH260" s="5" t="s">
        <v>33</v>
      </c>
      <c r="AI260" s="5" t="s">
        <v>33</v>
      </c>
      <c r="AJ260" s="5">
        <v>16</v>
      </c>
      <c r="AK260" s="5" t="s">
        <v>34</v>
      </c>
    </row>
    <row r="261" spans="1:37" ht="43.2" x14ac:dyDescent="0.3">
      <c r="A261" s="5">
        <v>270</v>
      </c>
      <c r="B261" s="5" t="s">
        <v>39</v>
      </c>
      <c r="C261" s="5">
        <v>49</v>
      </c>
      <c r="D261" s="2">
        <v>25</v>
      </c>
      <c r="E261" s="5">
        <v>168</v>
      </c>
      <c r="F261" s="5">
        <v>70</v>
      </c>
      <c r="G261" s="6">
        <v>24.801587301587301</v>
      </c>
      <c r="H261" s="9" t="s">
        <v>33</v>
      </c>
      <c r="I261" s="2">
        <v>34</v>
      </c>
      <c r="J261" s="5" t="s">
        <v>44</v>
      </c>
      <c r="K261" s="5" t="s">
        <v>44</v>
      </c>
      <c r="L261" s="5" t="s">
        <v>44</v>
      </c>
      <c r="M261" s="5" t="s">
        <v>44</v>
      </c>
      <c r="N261" s="5">
        <v>27.17</v>
      </c>
      <c r="O261" s="5">
        <v>30.84</v>
      </c>
      <c r="P261" s="5">
        <v>0.55000000000000004</v>
      </c>
      <c r="Q261" s="5">
        <v>0.1</v>
      </c>
      <c r="R261" s="5">
        <v>0.45</v>
      </c>
      <c r="S261" s="8">
        <v>1.1350754508649246</v>
      </c>
      <c r="T261" s="5" t="s">
        <v>45</v>
      </c>
      <c r="U261" s="5" t="s">
        <v>57</v>
      </c>
      <c r="V261" s="5" t="s">
        <v>60</v>
      </c>
      <c r="W261" s="5" t="s">
        <v>65</v>
      </c>
      <c r="X261" s="5" t="s">
        <v>68</v>
      </c>
      <c r="Y261" s="5" t="s">
        <v>45</v>
      </c>
      <c r="Z261" s="5" t="s">
        <v>74</v>
      </c>
      <c r="AA261" s="5" t="s">
        <v>79</v>
      </c>
      <c r="AB261" s="9" t="s">
        <v>44</v>
      </c>
      <c r="AC261" s="2" t="s">
        <v>46</v>
      </c>
      <c r="AD261" s="2">
        <v>0</v>
      </c>
      <c r="AE261" s="2" t="s">
        <v>52</v>
      </c>
      <c r="AF261" s="2" t="s">
        <v>33</v>
      </c>
      <c r="AG261" s="5">
        <v>0</v>
      </c>
      <c r="AH261" s="5" t="s">
        <v>33</v>
      </c>
      <c r="AI261" s="5" t="s">
        <v>33</v>
      </c>
      <c r="AJ261" s="5">
        <v>23</v>
      </c>
      <c r="AK261" s="5" t="s">
        <v>35</v>
      </c>
    </row>
    <row r="262" spans="1:37" x14ac:dyDescent="0.3">
      <c r="A262" s="5">
        <v>271</v>
      </c>
      <c r="B262" s="5" t="s">
        <v>40</v>
      </c>
      <c r="C262" s="5">
        <v>29</v>
      </c>
      <c r="D262" s="2">
        <v>1</v>
      </c>
      <c r="E262" s="5">
        <v>163</v>
      </c>
      <c r="F262" s="5">
        <v>55</v>
      </c>
      <c r="G262" s="6">
        <v>20.700816741315069</v>
      </c>
      <c r="H262" s="9" t="s">
        <v>33</v>
      </c>
      <c r="I262" s="2">
        <v>28</v>
      </c>
      <c r="J262" s="5" t="s">
        <v>44</v>
      </c>
      <c r="K262" s="5" t="s">
        <v>44</v>
      </c>
      <c r="L262" s="5" t="s">
        <v>44</v>
      </c>
      <c r="M262" s="5" t="s">
        <v>44</v>
      </c>
      <c r="N262" s="5">
        <v>11.04</v>
      </c>
      <c r="O262" s="5">
        <v>19.28</v>
      </c>
      <c r="P262" s="5">
        <v>0.25</v>
      </c>
      <c r="Q262" s="5">
        <v>0.05</v>
      </c>
      <c r="R262" s="5">
        <v>0.2</v>
      </c>
      <c r="S262" s="8">
        <v>1.7463768115942031</v>
      </c>
      <c r="T262" s="5" t="s">
        <v>44</v>
      </c>
      <c r="Y262" s="5" t="s">
        <v>44</v>
      </c>
      <c r="AB262" s="9" t="s">
        <v>44</v>
      </c>
      <c r="AC262" s="2" t="s">
        <v>46</v>
      </c>
      <c r="AD262" s="2">
        <v>0</v>
      </c>
      <c r="AE262" s="2" t="s">
        <v>49</v>
      </c>
      <c r="AF262" s="2" t="s">
        <v>33</v>
      </c>
      <c r="AG262" s="5">
        <v>0</v>
      </c>
      <c r="AH262" s="5" t="s">
        <v>33</v>
      </c>
      <c r="AI262" s="5" t="s">
        <v>33</v>
      </c>
      <c r="AJ262" s="5">
        <v>6</v>
      </c>
      <c r="AK262" s="5" t="s">
        <v>34</v>
      </c>
    </row>
    <row r="263" spans="1:37" x14ac:dyDescent="0.3">
      <c r="A263" s="5">
        <v>272</v>
      </c>
      <c r="B263" s="5" t="s">
        <v>39</v>
      </c>
      <c r="C263" s="5">
        <v>28</v>
      </c>
      <c r="D263" s="2">
        <v>2</v>
      </c>
      <c r="E263" s="5">
        <v>175</v>
      </c>
      <c r="F263" s="5">
        <v>89</v>
      </c>
      <c r="G263" s="6">
        <v>29.061224489795919</v>
      </c>
      <c r="H263" s="9" t="s">
        <v>42</v>
      </c>
      <c r="I263" s="2">
        <v>30</v>
      </c>
      <c r="J263" s="5" t="s">
        <v>44</v>
      </c>
      <c r="K263" s="5" t="s">
        <v>44</v>
      </c>
      <c r="L263" s="5" t="s">
        <v>44</v>
      </c>
      <c r="M263" s="5" t="s">
        <v>44</v>
      </c>
      <c r="N263" s="5">
        <v>26.3</v>
      </c>
      <c r="O263" s="5">
        <v>38.200000000000003</v>
      </c>
      <c r="P263" s="5">
        <v>0.42</v>
      </c>
      <c r="Q263" s="5">
        <v>0.12</v>
      </c>
      <c r="R263" s="5">
        <v>0.3</v>
      </c>
      <c r="S263" s="8">
        <v>1.4524714828897338</v>
      </c>
      <c r="T263" s="5" t="s">
        <v>44</v>
      </c>
      <c r="Y263" s="5" t="s">
        <v>44</v>
      </c>
      <c r="AB263" s="9" t="s">
        <v>44</v>
      </c>
      <c r="AC263" s="2" t="s">
        <v>46</v>
      </c>
      <c r="AD263" s="2">
        <v>0</v>
      </c>
      <c r="AE263" s="2" t="s">
        <v>52</v>
      </c>
      <c r="AF263" s="2" t="s">
        <v>33</v>
      </c>
      <c r="AG263" s="5">
        <v>0</v>
      </c>
      <c r="AH263" s="5" t="s">
        <v>33</v>
      </c>
      <c r="AI263" s="5" t="s">
        <v>33</v>
      </c>
      <c r="AJ263" s="5">
        <v>16</v>
      </c>
      <c r="AK263" s="5" t="s">
        <v>34</v>
      </c>
    </row>
    <row r="264" spans="1:37" x14ac:dyDescent="0.3">
      <c r="A264" s="5">
        <v>273</v>
      </c>
      <c r="B264" s="5" t="s">
        <v>39</v>
      </c>
      <c r="C264" s="5">
        <v>41</v>
      </c>
      <c r="D264" s="2">
        <v>18</v>
      </c>
      <c r="E264" s="5">
        <v>164</v>
      </c>
      <c r="F264" s="5">
        <v>84</v>
      </c>
      <c r="G264" s="6">
        <v>31.231409875074359</v>
      </c>
      <c r="H264" s="9" t="s">
        <v>41</v>
      </c>
      <c r="I264" s="2">
        <v>32</v>
      </c>
      <c r="J264" s="5" t="s">
        <v>44</v>
      </c>
      <c r="K264" s="5" t="s">
        <v>44</v>
      </c>
      <c r="L264" s="5" t="s">
        <v>44</v>
      </c>
      <c r="M264" s="5" t="s">
        <v>44</v>
      </c>
      <c r="N264" s="5">
        <v>37.5</v>
      </c>
      <c r="O264" s="5">
        <v>55.5</v>
      </c>
      <c r="P264" s="5">
        <v>0.52</v>
      </c>
      <c r="Q264" s="5">
        <v>0.09</v>
      </c>
      <c r="R264" s="5">
        <v>0.43</v>
      </c>
      <c r="S264" s="8">
        <v>1.48</v>
      </c>
      <c r="T264" s="5" t="s">
        <v>44</v>
      </c>
      <c r="Y264" s="5" t="s">
        <v>44</v>
      </c>
      <c r="AB264" s="9" t="s">
        <v>44</v>
      </c>
      <c r="AC264" s="2" t="s">
        <v>46</v>
      </c>
      <c r="AD264" s="2">
        <v>0</v>
      </c>
      <c r="AE264" s="2" t="s">
        <v>48</v>
      </c>
      <c r="AF264" s="2" t="s">
        <v>85</v>
      </c>
      <c r="AG264" s="5">
        <v>1</v>
      </c>
      <c r="AH264" s="5" t="s">
        <v>37</v>
      </c>
      <c r="AI264" s="5" t="s">
        <v>37</v>
      </c>
      <c r="AJ264" s="5">
        <v>21</v>
      </c>
      <c r="AK264" s="5" t="s">
        <v>35</v>
      </c>
    </row>
    <row r="265" spans="1:37" x14ac:dyDescent="0.3">
      <c r="A265" s="5">
        <v>274</v>
      </c>
      <c r="B265" s="5" t="s">
        <v>39</v>
      </c>
      <c r="C265" s="5">
        <v>35</v>
      </c>
      <c r="D265" s="5">
        <v>10</v>
      </c>
      <c r="E265" s="5">
        <v>167</v>
      </c>
      <c r="F265" s="5">
        <v>69</v>
      </c>
      <c r="G265" s="6">
        <v>24.74</v>
      </c>
      <c r="H265" s="9" t="s">
        <v>33</v>
      </c>
      <c r="I265" s="7">
        <v>32</v>
      </c>
      <c r="J265" s="5" t="s">
        <v>44</v>
      </c>
      <c r="K265" s="5" t="s">
        <v>44</v>
      </c>
      <c r="L265" s="5" t="s">
        <v>44</v>
      </c>
      <c r="M265" s="5" t="s">
        <v>44</v>
      </c>
      <c r="N265" s="5">
        <v>27.58</v>
      </c>
      <c r="O265" s="5">
        <v>58.29</v>
      </c>
      <c r="P265" s="5">
        <v>0.52</v>
      </c>
      <c r="Q265" s="5">
        <v>0.11</v>
      </c>
      <c r="R265" s="5">
        <v>0.41</v>
      </c>
      <c r="S265" s="8">
        <v>2.113488034807832</v>
      </c>
      <c r="T265" s="5" t="s">
        <v>44</v>
      </c>
      <c r="Y265" s="5" t="s">
        <v>44</v>
      </c>
      <c r="AB265" s="9" t="s">
        <v>44</v>
      </c>
      <c r="AC265" s="2" t="s">
        <v>46</v>
      </c>
      <c r="AD265" s="2">
        <v>0</v>
      </c>
      <c r="AE265" s="2" t="s">
        <v>49</v>
      </c>
      <c r="AF265" s="2" t="s">
        <v>85</v>
      </c>
      <c r="AG265" s="5">
        <v>1</v>
      </c>
      <c r="AH265" s="5" t="s">
        <v>36</v>
      </c>
      <c r="AI265" s="5" t="s">
        <v>86</v>
      </c>
      <c r="AJ265" s="5">
        <v>10</v>
      </c>
      <c r="AK265" s="5" t="s">
        <v>34</v>
      </c>
    </row>
    <row r="266" spans="1:37" x14ac:dyDescent="0.3">
      <c r="A266" s="5">
        <v>275</v>
      </c>
      <c r="B266" s="5" t="s">
        <v>39</v>
      </c>
      <c r="C266" s="5">
        <v>36</v>
      </c>
      <c r="D266" s="5">
        <v>10</v>
      </c>
      <c r="E266" s="5">
        <v>167</v>
      </c>
      <c r="F266" s="5">
        <v>69</v>
      </c>
      <c r="G266" s="6">
        <v>24.74</v>
      </c>
      <c r="H266" s="9" t="s">
        <v>33</v>
      </c>
      <c r="I266" s="7">
        <v>32</v>
      </c>
      <c r="J266" s="5" t="s">
        <v>44</v>
      </c>
      <c r="K266" s="5" t="s">
        <v>44</v>
      </c>
      <c r="L266" s="5" t="s">
        <v>44</v>
      </c>
      <c r="M266" s="5" t="s">
        <v>44</v>
      </c>
      <c r="N266" s="5">
        <v>38.6</v>
      </c>
      <c r="O266" s="5">
        <v>32.700000000000003</v>
      </c>
      <c r="P266" s="5">
        <v>1.02</v>
      </c>
      <c r="Q266" s="5">
        <v>0.19</v>
      </c>
      <c r="R266" s="5">
        <v>0.83</v>
      </c>
      <c r="S266" s="8">
        <v>0.84715025906735753</v>
      </c>
      <c r="T266" s="5" t="s">
        <v>44</v>
      </c>
      <c r="Y266" s="5" t="s">
        <v>44</v>
      </c>
      <c r="AB266" s="9" t="s">
        <v>44</v>
      </c>
      <c r="AC266" s="2" t="s">
        <v>46</v>
      </c>
      <c r="AD266" s="2">
        <v>0</v>
      </c>
      <c r="AE266" s="2" t="s">
        <v>49</v>
      </c>
      <c r="AF266" s="2" t="s">
        <v>33</v>
      </c>
      <c r="AG266" s="5">
        <v>0</v>
      </c>
      <c r="AH266" s="5" t="s">
        <v>33</v>
      </c>
      <c r="AI266" s="5" t="s">
        <v>33</v>
      </c>
      <c r="AJ266" s="5">
        <v>8</v>
      </c>
      <c r="AK266" s="5" t="s">
        <v>34</v>
      </c>
    </row>
    <row r="267" spans="1:37" x14ac:dyDescent="0.3">
      <c r="A267" s="5">
        <v>276</v>
      </c>
      <c r="B267" s="5" t="s">
        <v>40</v>
      </c>
      <c r="C267" s="5">
        <v>30</v>
      </c>
      <c r="D267" s="5">
        <v>10</v>
      </c>
      <c r="E267" s="5">
        <v>167</v>
      </c>
      <c r="F267" s="5">
        <v>69</v>
      </c>
      <c r="G267" s="6">
        <v>24.74</v>
      </c>
      <c r="H267" s="9" t="s">
        <v>33</v>
      </c>
      <c r="I267" s="7">
        <v>32</v>
      </c>
      <c r="J267" s="5" t="s">
        <v>44</v>
      </c>
      <c r="K267" s="5" t="s">
        <v>44</v>
      </c>
      <c r="L267" s="5" t="s">
        <v>44</v>
      </c>
      <c r="M267" s="5" t="s">
        <v>44</v>
      </c>
      <c r="N267" s="5">
        <v>18.7</v>
      </c>
      <c r="O267" s="5">
        <v>29.5</v>
      </c>
      <c r="P267" s="5">
        <v>0.46</v>
      </c>
      <c r="Q267" s="5">
        <v>0.12</v>
      </c>
      <c r="R267" s="5">
        <v>0.34</v>
      </c>
      <c r="S267" s="8">
        <v>1.5775401069518717</v>
      </c>
      <c r="T267" s="5" t="s">
        <v>44</v>
      </c>
      <c r="Y267" s="5" t="s">
        <v>44</v>
      </c>
      <c r="AB267" s="9" t="s">
        <v>44</v>
      </c>
      <c r="AC267" s="2" t="s">
        <v>46</v>
      </c>
      <c r="AD267" s="2">
        <v>0</v>
      </c>
      <c r="AE267" s="2" t="s">
        <v>49</v>
      </c>
      <c r="AF267" s="2" t="s">
        <v>33</v>
      </c>
      <c r="AG267" s="5">
        <v>0</v>
      </c>
      <c r="AH267" s="5" t="s">
        <v>33</v>
      </c>
      <c r="AI267" s="5" t="s">
        <v>33</v>
      </c>
      <c r="AJ267" s="5">
        <v>6</v>
      </c>
      <c r="AK267" s="5" t="s">
        <v>34</v>
      </c>
    </row>
    <row r="268" spans="1:37" x14ac:dyDescent="0.3">
      <c r="A268" s="5">
        <v>277</v>
      </c>
      <c r="B268" s="5" t="s">
        <v>40</v>
      </c>
      <c r="C268" s="5">
        <v>28</v>
      </c>
      <c r="D268" s="5">
        <v>10</v>
      </c>
      <c r="E268" s="5">
        <v>167</v>
      </c>
      <c r="F268" s="5">
        <v>69</v>
      </c>
      <c r="G268" s="6">
        <v>24.74</v>
      </c>
      <c r="H268" s="9" t="s">
        <v>33</v>
      </c>
      <c r="I268" s="7">
        <v>32</v>
      </c>
      <c r="J268" s="5" t="s">
        <v>44</v>
      </c>
      <c r="K268" s="5" t="s">
        <v>44</v>
      </c>
      <c r="L268" s="5" t="s">
        <v>44</v>
      </c>
      <c r="M268" s="5" t="s">
        <v>44</v>
      </c>
      <c r="N268" s="5">
        <v>27.1</v>
      </c>
      <c r="O268" s="5">
        <v>34.6</v>
      </c>
      <c r="P268" s="5">
        <v>0.28000000000000003</v>
      </c>
      <c r="Q268" s="5">
        <v>0.08</v>
      </c>
      <c r="R268" s="5">
        <v>0.2</v>
      </c>
      <c r="S268" s="8">
        <v>1.2767527675276753</v>
      </c>
      <c r="T268" s="5" t="s">
        <v>44</v>
      </c>
      <c r="Y268" s="5" t="s">
        <v>44</v>
      </c>
      <c r="AB268" s="9" t="s">
        <v>44</v>
      </c>
      <c r="AC268" s="2" t="s">
        <v>46</v>
      </c>
      <c r="AD268" s="2">
        <v>0</v>
      </c>
      <c r="AE268" s="2" t="s">
        <v>49</v>
      </c>
      <c r="AF268" s="2" t="s">
        <v>33</v>
      </c>
      <c r="AG268" s="5">
        <v>0</v>
      </c>
      <c r="AH268" s="5" t="s">
        <v>33</v>
      </c>
      <c r="AI268" s="5" t="s">
        <v>33</v>
      </c>
      <c r="AJ268" s="5">
        <v>6</v>
      </c>
      <c r="AK268" s="5" t="s">
        <v>34</v>
      </c>
    </row>
    <row r="269" spans="1:37" x14ac:dyDescent="0.3">
      <c r="A269" s="5">
        <v>278</v>
      </c>
      <c r="B269" s="5" t="s">
        <v>40</v>
      </c>
      <c r="C269" s="5">
        <v>27</v>
      </c>
      <c r="D269" s="5">
        <v>10</v>
      </c>
      <c r="E269" s="5">
        <v>167</v>
      </c>
      <c r="F269" s="5">
        <v>69</v>
      </c>
      <c r="G269" s="6">
        <v>24.74</v>
      </c>
      <c r="H269" s="9" t="s">
        <v>33</v>
      </c>
      <c r="I269" s="7">
        <v>32</v>
      </c>
      <c r="J269" s="5" t="s">
        <v>44</v>
      </c>
      <c r="K269" s="5" t="s">
        <v>44</v>
      </c>
      <c r="L269" s="5" t="s">
        <v>44</v>
      </c>
      <c r="M269" s="5" t="s">
        <v>44</v>
      </c>
      <c r="N269" s="5">
        <v>20.43</v>
      </c>
      <c r="O269" s="5">
        <v>20.010000000000002</v>
      </c>
      <c r="P269" s="5">
        <v>1.03</v>
      </c>
      <c r="Q269" s="5">
        <v>0.23</v>
      </c>
      <c r="R269" s="5">
        <v>0.8</v>
      </c>
      <c r="S269" s="8">
        <v>0.9794419970631425</v>
      </c>
      <c r="T269" s="5" t="s">
        <v>44</v>
      </c>
      <c r="Y269" s="5" t="s">
        <v>44</v>
      </c>
      <c r="AB269" s="9" t="s">
        <v>44</v>
      </c>
      <c r="AC269" s="2" t="s">
        <v>46</v>
      </c>
      <c r="AD269" s="2">
        <v>0</v>
      </c>
      <c r="AE269" s="2" t="s">
        <v>49</v>
      </c>
      <c r="AF269" s="2" t="s">
        <v>33</v>
      </c>
      <c r="AG269" s="5">
        <v>0</v>
      </c>
      <c r="AH269" s="5" t="s">
        <v>33</v>
      </c>
      <c r="AI269" s="5" t="s">
        <v>33</v>
      </c>
      <c r="AJ269" s="5">
        <v>6</v>
      </c>
      <c r="AK269" s="5" t="s">
        <v>34</v>
      </c>
    </row>
    <row r="270" spans="1:37" x14ac:dyDescent="0.3">
      <c r="A270" s="5">
        <v>279</v>
      </c>
      <c r="B270" s="5" t="s">
        <v>40</v>
      </c>
      <c r="C270" s="5">
        <v>28</v>
      </c>
      <c r="D270" s="5">
        <v>10</v>
      </c>
      <c r="E270" s="5">
        <v>167</v>
      </c>
      <c r="F270" s="5">
        <v>69</v>
      </c>
      <c r="G270" s="6">
        <v>24.74</v>
      </c>
      <c r="H270" s="9" t="s">
        <v>33</v>
      </c>
      <c r="I270" s="7">
        <v>32</v>
      </c>
      <c r="J270" s="5" t="s">
        <v>44</v>
      </c>
      <c r="K270" s="5" t="s">
        <v>44</v>
      </c>
      <c r="L270" s="5" t="s">
        <v>44</v>
      </c>
      <c r="M270" s="5" t="s">
        <v>44</v>
      </c>
      <c r="N270" s="5">
        <v>17.899999999999999</v>
      </c>
      <c r="O270" s="5">
        <v>35.9</v>
      </c>
      <c r="P270" s="5">
        <v>0.5</v>
      </c>
      <c r="Q270" s="5">
        <v>0.01</v>
      </c>
      <c r="R270" s="5">
        <v>0.49</v>
      </c>
      <c r="S270" s="8">
        <v>2.005586592178771</v>
      </c>
      <c r="T270" s="5" t="s">
        <v>44</v>
      </c>
      <c r="Y270" s="5" t="s">
        <v>44</v>
      </c>
      <c r="AB270" s="9" t="s">
        <v>44</v>
      </c>
      <c r="AC270" s="2" t="s">
        <v>46</v>
      </c>
      <c r="AD270" s="2">
        <v>0</v>
      </c>
      <c r="AE270" s="2" t="s">
        <v>49</v>
      </c>
      <c r="AF270" s="2" t="s">
        <v>33</v>
      </c>
      <c r="AG270" s="5">
        <v>0</v>
      </c>
      <c r="AH270" s="5" t="s">
        <v>33</v>
      </c>
      <c r="AI270" s="5" t="s">
        <v>33</v>
      </c>
      <c r="AJ270" s="5">
        <v>6</v>
      </c>
      <c r="AK270" s="5" t="s">
        <v>34</v>
      </c>
    </row>
    <row r="271" spans="1:37" x14ac:dyDescent="0.3">
      <c r="A271" s="5">
        <v>280</v>
      </c>
      <c r="B271" s="5" t="s">
        <v>40</v>
      </c>
      <c r="C271" s="5">
        <v>35</v>
      </c>
      <c r="D271" s="5">
        <v>10</v>
      </c>
      <c r="E271" s="5">
        <v>167</v>
      </c>
      <c r="F271" s="5">
        <v>69</v>
      </c>
      <c r="G271" s="6">
        <v>24.74</v>
      </c>
      <c r="H271" s="9" t="s">
        <v>33</v>
      </c>
      <c r="I271" s="7">
        <v>32</v>
      </c>
      <c r="J271" s="5" t="s">
        <v>44</v>
      </c>
      <c r="K271" s="5" t="s">
        <v>44</v>
      </c>
      <c r="L271" s="5" t="s">
        <v>44</v>
      </c>
      <c r="M271" s="5" t="s">
        <v>44</v>
      </c>
      <c r="N271" s="5">
        <v>13.8</v>
      </c>
      <c r="O271" s="5">
        <v>30</v>
      </c>
      <c r="P271" s="5">
        <v>0.32</v>
      </c>
      <c r="Q271" s="5">
        <v>0.02</v>
      </c>
      <c r="R271" s="5">
        <v>0.3</v>
      </c>
      <c r="S271" s="8">
        <v>2.1739130434782608</v>
      </c>
      <c r="T271" s="5" t="s">
        <v>44</v>
      </c>
      <c r="Y271" s="5" t="s">
        <v>44</v>
      </c>
      <c r="AB271" s="9" t="s">
        <v>44</v>
      </c>
      <c r="AC271" s="2" t="s">
        <v>46</v>
      </c>
      <c r="AD271" s="2">
        <v>0</v>
      </c>
      <c r="AE271" s="2" t="s">
        <v>49</v>
      </c>
      <c r="AF271" s="2" t="s">
        <v>33</v>
      </c>
      <c r="AG271" s="5">
        <v>0</v>
      </c>
      <c r="AH271" s="5" t="s">
        <v>33</v>
      </c>
      <c r="AI271" s="5" t="s">
        <v>33</v>
      </c>
      <c r="AJ271" s="5">
        <v>7</v>
      </c>
      <c r="AK271" s="5" t="s">
        <v>34</v>
      </c>
    </row>
    <row r="272" spans="1:37" ht="28.8" x14ac:dyDescent="0.3">
      <c r="A272" s="5">
        <v>281</v>
      </c>
      <c r="B272" s="5" t="s">
        <v>39</v>
      </c>
      <c r="C272" s="5">
        <v>22</v>
      </c>
      <c r="D272" s="7">
        <v>1</v>
      </c>
      <c r="E272" s="5">
        <v>178</v>
      </c>
      <c r="F272" s="5">
        <v>55</v>
      </c>
      <c r="G272" s="6">
        <v>17.35891932836763</v>
      </c>
      <c r="H272" s="9" t="s">
        <v>43</v>
      </c>
      <c r="I272" s="5">
        <v>30</v>
      </c>
      <c r="J272" s="5" t="s">
        <v>44</v>
      </c>
      <c r="K272" s="5" t="s">
        <v>44</v>
      </c>
      <c r="L272" s="5" t="s">
        <v>44</v>
      </c>
      <c r="M272" s="5" t="s">
        <v>44</v>
      </c>
      <c r="N272" s="5">
        <v>17.7</v>
      </c>
      <c r="O272" s="5">
        <v>18.7</v>
      </c>
      <c r="P272" s="5">
        <v>1.1599999999999999</v>
      </c>
      <c r="Q272" s="5">
        <v>0.23</v>
      </c>
      <c r="R272" s="5">
        <v>0.93</v>
      </c>
      <c r="S272" s="8">
        <v>1.0564971751412429</v>
      </c>
      <c r="T272" s="5" t="s">
        <v>45</v>
      </c>
      <c r="U272" s="5" t="s">
        <v>56</v>
      </c>
      <c r="V272" s="5" t="s">
        <v>61</v>
      </c>
      <c r="W272" s="5" t="s">
        <v>65</v>
      </c>
      <c r="X272" s="5" t="s">
        <v>73</v>
      </c>
      <c r="Y272" s="5" t="s">
        <v>44</v>
      </c>
      <c r="AB272" s="9" t="s">
        <v>44</v>
      </c>
      <c r="AC272" s="2" t="s">
        <v>46</v>
      </c>
      <c r="AD272" s="2">
        <v>0</v>
      </c>
      <c r="AE272" s="2" t="s">
        <v>49</v>
      </c>
      <c r="AF272" s="2" t="s">
        <v>33</v>
      </c>
      <c r="AG272" s="5">
        <v>0</v>
      </c>
      <c r="AH272" s="5" t="s">
        <v>33</v>
      </c>
      <c r="AI272" s="5" t="s">
        <v>33</v>
      </c>
      <c r="AJ272" s="5">
        <v>14</v>
      </c>
      <c r="AK272" s="5" t="s">
        <v>34</v>
      </c>
    </row>
    <row r="273" spans="1:37" ht="28.8" x14ac:dyDescent="0.3">
      <c r="A273" s="5">
        <v>282</v>
      </c>
      <c r="B273" s="5" t="s">
        <v>40</v>
      </c>
      <c r="C273" s="5">
        <v>22</v>
      </c>
      <c r="D273" s="7">
        <v>1</v>
      </c>
      <c r="E273" s="5">
        <v>167</v>
      </c>
      <c r="F273" s="5">
        <v>69</v>
      </c>
      <c r="G273" s="6">
        <v>24.74</v>
      </c>
      <c r="H273" s="9" t="s">
        <v>33</v>
      </c>
      <c r="I273" s="5">
        <v>28</v>
      </c>
      <c r="J273" s="5" t="s">
        <v>44</v>
      </c>
      <c r="K273" s="5" t="s">
        <v>44</v>
      </c>
      <c r="L273" s="5" t="s">
        <v>44</v>
      </c>
      <c r="M273" s="5" t="s">
        <v>44</v>
      </c>
      <c r="N273" s="5">
        <v>11.8</v>
      </c>
      <c r="O273" s="5">
        <v>15.7</v>
      </c>
      <c r="P273" s="5">
        <v>0.46</v>
      </c>
      <c r="Q273" s="5">
        <v>0.12</v>
      </c>
      <c r="R273" s="5">
        <v>0.34</v>
      </c>
      <c r="S273" s="8">
        <v>1.330508474576271</v>
      </c>
      <c r="T273" s="5" t="s">
        <v>45</v>
      </c>
      <c r="U273" s="5" t="s">
        <v>56</v>
      </c>
      <c r="V273" s="5" t="s">
        <v>61</v>
      </c>
      <c r="W273" s="5" t="s">
        <v>65</v>
      </c>
      <c r="X273" s="5" t="s">
        <v>68</v>
      </c>
      <c r="Y273" s="5" t="s">
        <v>44</v>
      </c>
      <c r="AB273" s="9" t="s">
        <v>44</v>
      </c>
      <c r="AC273" s="2" t="s">
        <v>46</v>
      </c>
      <c r="AD273" s="2">
        <v>0</v>
      </c>
      <c r="AE273" s="2" t="s">
        <v>52</v>
      </c>
      <c r="AF273" s="2" t="s">
        <v>33</v>
      </c>
      <c r="AG273" s="5">
        <v>0</v>
      </c>
      <c r="AH273" s="5" t="s">
        <v>33</v>
      </c>
      <c r="AI273" s="5" t="s">
        <v>33</v>
      </c>
      <c r="AJ273" s="5">
        <v>13</v>
      </c>
      <c r="AK273" s="5" t="s">
        <v>34</v>
      </c>
    </row>
    <row r="274" spans="1:37" x14ac:dyDescent="0.3">
      <c r="A274" s="5">
        <v>283</v>
      </c>
      <c r="B274" s="5" t="s">
        <v>39</v>
      </c>
      <c r="C274" s="5">
        <v>40</v>
      </c>
      <c r="D274" s="5">
        <v>10</v>
      </c>
      <c r="E274" s="5">
        <v>167</v>
      </c>
      <c r="F274" s="5">
        <v>69</v>
      </c>
      <c r="G274" s="6">
        <v>24.74</v>
      </c>
      <c r="H274" s="9" t="s">
        <v>33</v>
      </c>
      <c r="I274" s="5">
        <v>32</v>
      </c>
      <c r="J274" s="5" t="s">
        <v>44</v>
      </c>
      <c r="K274" s="5" t="s">
        <v>44</v>
      </c>
      <c r="L274" s="5" t="s">
        <v>44</v>
      </c>
      <c r="M274" s="5" t="s">
        <v>44</v>
      </c>
      <c r="N274" s="5">
        <v>27.94</v>
      </c>
      <c r="O274" s="5">
        <v>43.14</v>
      </c>
      <c r="P274" s="5">
        <v>0.62</v>
      </c>
      <c r="Q274" s="5">
        <v>0.11</v>
      </c>
      <c r="R274" s="5">
        <v>0.51</v>
      </c>
      <c r="S274" s="8">
        <v>1.5440229062276305</v>
      </c>
      <c r="T274" s="5" t="s">
        <v>44</v>
      </c>
      <c r="Y274" s="5" t="s">
        <v>44</v>
      </c>
      <c r="AB274" s="9" t="s">
        <v>44</v>
      </c>
      <c r="AC274" s="2" t="s">
        <v>46</v>
      </c>
      <c r="AD274" s="2">
        <v>0</v>
      </c>
      <c r="AE274" s="2" t="s">
        <v>49</v>
      </c>
      <c r="AF274" s="2" t="s">
        <v>85</v>
      </c>
      <c r="AG274" s="5">
        <v>1</v>
      </c>
      <c r="AH274" s="5" t="s">
        <v>88</v>
      </c>
      <c r="AI274" s="5" t="s">
        <v>88</v>
      </c>
      <c r="AJ274" s="5">
        <v>10</v>
      </c>
      <c r="AK274" s="5" t="s">
        <v>34</v>
      </c>
    </row>
    <row r="275" spans="1:37" x14ac:dyDescent="0.3">
      <c r="A275" s="5">
        <v>284</v>
      </c>
      <c r="B275" s="5" t="s">
        <v>39</v>
      </c>
      <c r="C275" s="5">
        <v>35</v>
      </c>
      <c r="D275" s="5">
        <v>10</v>
      </c>
      <c r="E275" s="5">
        <v>167</v>
      </c>
      <c r="F275" s="5">
        <v>69</v>
      </c>
      <c r="G275" s="6">
        <v>24.74</v>
      </c>
      <c r="H275" s="9" t="s">
        <v>33</v>
      </c>
      <c r="I275" s="5">
        <v>32</v>
      </c>
      <c r="J275" s="5" t="s">
        <v>44</v>
      </c>
      <c r="K275" s="5" t="s">
        <v>44</v>
      </c>
      <c r="L275" s="5" t="s">
        <v>44</v>
      </c>
      <c r="M275" s="5" t="s">
        <v>44</v>
      </c>
      <c r="N275" s="5">
        <v>29.5</v>
      </c>
      <c r="O275" s="5">
        <v>38.299999999999997</v>
      </c>
      <c r="P275" s="5">
        <v>0.42</v>
      </c>
      <c r="Q275" s="5">
        <v>0.06</v>
      </c>
      <c r="R275" s="5">
        <v>0.36</v>
      </c>
      <c r="S275" s="8">
        <v>1.2983050847457627</v>
      </c>
      <c r="T275" s="5" t="s">
        <v>44</v>
      </c>
      <c r="Y275" s="5" t="s">
        <v>44</v>
      </c>
      <c r="AB275" s="9" t="s">
        <v>44</v>
      </c>
      <c r="AC275" s="2" t="s">
        <v>46</v>
      </c>
      <c r="AD275" s="2">
        <v>0</v>
      </c>
      <c r="AE275" s="2" t="s">
        <v>49</v>
      </c>
      <c r="AF275" s="2" t="s">
        <v>33</v>
      </c>
      <c r="AG275" s="5">
        <v>0</v>
      </c>
      <c r="AH275" s="5" t="s">
        <v>33</v>
      </c>
      <c r="AI275" s="5" t="s">
        <v>33</v>
      </c>
      <c r="AJ275" s="5">
        <v>7</v>
      </c>
      <c r="AK275" s="5" t="s">
        <v>34</v>
      </c>
    </row>
    <row r="276" spans="1:37" x14ac:dyDescent="0.3">
      <c r="A276" s="5">
        <v>285</v>
      </c>
      <c r="B276" s="5" t="s">
        <v>39</v>
      </c>
      <c r="C276" s="5">
        <v>37</v>
      </c>
      <c r="D276" s="5">
        <v>10</v>
      </c>
      <c r="E276" s="5">
        <v>167</v>
      </c>
      <c r="F276" s="5">
        <v>69</v>
      </c>
      <c r="G276" s="6">
        <v>24.74</v>
      </c>
      <c r="H276" s="9" t="s">
        <v>33</v>
      </c>
      <c r="I276" s="5">
        <v>32</v>
      </c>
      <c r="J276" s="5" t="s">
        <v>44</v>
      </c>
      <c r="K276" s="5" t="s">
        <v>44</v>
      </c>
      <c r="L276" s="5" t="s">
        <v>44</v>
      </c>
      <c r="M276" s="5" t="s">
        <v>44</v>
      </c>
      <c r="N276" s="5">
        <v>51.2</v>
      </c>
      <c r="O276" s="5">
        <v>44</v>
      </c>
      <c r="P276" s="5">
        <v>0.7</v>
      </c>
      <c r="Q276" s="5">
        <v>0.1</v>
      </c>
      <c r="R276" s="5">
        <v>0.6</v>
      </c>
      <c r="S276" s="8">
        <v>0.859375</v>
      </c>
      <c r="T276" s="5" t="s">
        <v>44</v>
      </c>
      <c r="Y276" s="5" t="s">
        <v>44</v>
      </c>
      <c r="AB276" s="9" t="s">
        <v>44</v>
      </c>
      <c r="AC276" s="2" t="s">
        <v>46</v>
      </c>
      <c r="AD276" s="2">
        <v>0</v>
      </c>
      <c r="AE276" s="2" t="s">
        <v>49</v>
      </c>
      <c r="AF276" s="2" t="s">
        <v>85</v>
      </c>
      <c r="AG276" s="5">
        <v>1</v>
      </c>
      <c r="AH276" s="5" t="s">
        <v>37</v>
      </c>
      <c r="AI276" s="5" t="s">
        <v>37</v>
      </c>
      <c r="AJ276" s="5">
        <v>13</v>
      </c>
      <c r="AK276" s="5" t="s">
        <v>34</v>
      </c>
    </row>
    <row r="277" spans="1:37" x14ac:dyDescent="0.3">
      <c r="A277" s="5">
        <v>286</v>
      </c>
      <c r="B277" s="5" t="s">
        <v>39</v>
      </c>
      <c r="C277" s="5">
        <v>36</v>
      </c>
      <c r="D277" s="5">
        <v>10</v>
      </c>
      <c r="E277" s="5">
        <v>167</v>
      </c>
      <c r="F277" s="5">
        <v>69</v>
      </c>
      <c r="G277" s="6">
        <v>24.74</v>
      </c>
      <c r="H277" s="9" t="s">
        <v>33</v>
      </c>
      <c r="I277" s="5">
        <v>32</v>
      </c>
      <c r="J277" s="5" t="s">
        <v>44</v>
      </c>
      <c r="K277" s="5" t="s">
        <v>44</v>
      </c>
      <c r="L277" s="5" t="s">
        <v>44</v>
      </c>
      <c r="M277" s="5" t="s">
        <v>44</v>
      </c>
      <c r="N277" s="5">
        <v>25.53</v>
      </c>
      <c r="O277" s="5">
        <v>29.13</v>
      </c>
      <c r="P277" s="5">
        <v>0.44</v>
      </c>
      <c r="Q277" s="5">
        <v>0.1</v>
      </c>
      <c r="R277" s="5">
        <v>0.34</v>
      </c>
      <c r="S277" s="8">
        <v>1.1410105757931843</v>
      </c>
      <c r="T277" s="5" t="s">
        <v>44</v>
      </c>
      <c r="Y277" s="5" t="s">
        <v>44</v>
      </c>
      <c r="AB277" s="9" t="s">
        <v>44</v>
      </c>
      <c r="AC277" s="2" t="s">
        <v>46</v>
      </c>
      <c r="AD277" s="2">
        <v>0</v>
      </c>
      <c r="AE277" s="2" t="s">
        <v>49</v>
      </c>
      <c r="AF277" s="2" t="s">
        <v>33</v>
      </c>
      <c r="AG277" s="5">
        <v>0</v>
      </c>
      <c r="AH277" s="5" t="s">
        <v>33</v>
      </c>
      <c r="AI277" s="5" t="s">
        <v>33</v>
      </c>
      <c r="AJ277" s="5">
        <v>7</v>
      </c>
      <c r="AK277" s="5" t="s">
        <v>34</v>
      </c>
    </row>
    <row r="278" spans="1:37" x14ac:dyDescent="0.3">
      <c r="A278" s="5">
        <v>287</v>
      </c>
      <c r="B278" s="5" t="s">
        <v>39</v>
      </c>
      <c r="C278" s="5">
        <v>36</v>
      </c>
      <c r="D278" s="5">
        <v>10</v>
      </c>
      <c r="E278" s="5">
        <v>167</v>
      </c>
      <c r="F278" s="5">
        <v>69</v>
      </c>
      <c r="G278" s="6">
        <v>24.74</v>
      </c>
      <c r="H278" s="9" t="s">
        <v>33</v>
      </c>
      <c r="I278" s="5">
        <v>32</v>
      </c>
      <c r="J278" s="5" t="s">
        <v>44</v>
      </c>
      <c r="K278" s="5" t="s">
        <v>44</v>
      </c>
      <c r="L278" s="5" t="s">
        <v>44</v>
      </c>
      <c r="M278" s="5" t="s">
        <v>44</v>
      </c>
      <c r="N278" s="5">
        <v>23.1</v>
      </c>
      <c r="O278" s="5">
        <v>26.3</v>
      </c>
      <c r="P278" s="5">
        <v>0.97</v>
      </c>
      <c r="Q278" s="5">
        <v>0.4</v>
      </c>
      <c r="R278" s="5">
        <v>0.56999999999999995</v>
      </c>
      <c r="S278" s="8">
        <v>1.1385281385281385</v>
      </c>
      <c r="T278" s="5" t="s">
        <v>44</v>
      </c>
      <c r="Y278" s="5" t="s">
        <v>44</v>
      </c>
      <c r="AB278" s="9" t="s">
        <v>44</v>
      </c>
      <c r="AC278" s="2" t="s">
        <v>46</v>
      </c>
      <c r="AD278" s="2">
        <v>0</v>
      </c>
      <c r="AE278" s="2" t="s">
        <v>49</v>
      </c>
      <c r="AF278" s="2" t="s">
        <v>85</v>
      </c>
      <c r="AG278" s="5">
        <v>1</v>
      </c>
      <c r="AH278" s="5" t="s">
        <v>87</v>
      </c>
      <c r="AI278" s="5" t="s">
        <v>87</v>
      </c>
      <c r="AJ278" s="5">
        <v>9</v>
      </c>
      <c r="AK278" s="5" t="s">
        <v>34</v>
      </c>
    </row>
    <row r="279" spans="1:37" x14ac:dyDescent="0.3">
      <c r="A279" s="5">
        <v>288</v>
      </c>
      <c r="B279" s="5" t="s">
        <v>40</v>
      </c>
      <c r="C279" s="5">
        <v>36</v>
      </c>
      <c r="D279" s="5">
        <v>10</v>
      </c>
      <c r="E279" s="5">
        <v>167</v>
      </c>
      <c r="F279" s="5">
        <v>69</v>
      </c>
      <c r="G279" s="6">
        <v>24.74</v>
      </c>
      <c r="H279" s="9" t="s">
        <v>33</v>
      </c>
      <c r="I279" s="5">
        <v>32</v>
      </c>
      <c r="J279" s="5" t="s">
        <v>44</v>
      </c>
      <c r="K279" s="5" t="s">
        <v>44</v>
      </c>
      <c r="L279" s="5" t="s">
        <v>44</v>
      </c>
      <c r="M279" s="5" t="s">
        <v>44</v>
      </c>
      <c r="N279" s="5">
        <v>32.1</v>
      </c>
      <c r="O279" s="5">
        <v>38.6</v>
      </c>
      <c r="P279" s="5">
        <v>1.9</v>
      </c>
      <c r="Q279" s="5">
        <v>0.9</v>
      </c>
      <c r="R279" s="5">
        <v>1</v>
      </c>
      <c r="S279" s="8">
        <v>1.2024922118380061</v>
      </c>
      <c r="T279" s="5" t="s">
        <v>44</v>
      </c>
      <c r="Y279" s="5" t="s">
        <v>44</v>
      </c>
      <c r="AB279" s="9" t="s">
        <v>44</v>
      </c>
      <c r="AC279" s="2" t="s">
        <v>46</v>
      </c>
      <c r="AD279" s="2">
        <v>0</v>
      </c>
      <c r="AE279" s="2" t="s">
        <v>49</v>
      </c>
      <c r="AF279" s="2" t="s">
        <v>85</v>
      </c>
      <c r="AG279" s="5">
        <v>1</v>
      </c>
      <c r="AH279" s="5" t="s">
        <v>87</v>
      </c>
      <c r="AI279" s="5" t="s">
        <v>87</v>
      </c>
      <c r="AJ279" s="5">
        <v>11</v>
      </c>
      <c r="AK279" s="5" t="s">
        <v>34</v>
      </c>
    </row>
    <row r="280" spans="1:37" x14ac:dyDescent="0.3">
      <c r="A280" s="5">
        <v>289</v>
      </c>
      <c r="B280" s="5" t="s">
        <v>39</v>
      </c>
      <c r="C280" s="5">
        <v>36</v>
      </c>
      <c r="D280" s="5">
        <v>10</v>
      </c>
      <c r="E280" s="5">
        <v>167</v>
      </c>
      <c r="F280" s="5">
        <v>69</v>
      </c>
      <c r="G280" s="6">
        <v>24.74</v>
      </c>
      <c r="H280" s="9" t="s">
        <v>33</v>
      </c>
      <c r="I280" s="5">
        <v>32</v>
      </c>
      <c r="J280" s="5" t="s">
        <v>44</v>
      </c>
      <c r="K280" s="5" t="s">
        <v>44</v>
      </c>
      <c r="L280" s="5" t="s">
        <v>44</v>
      </c>
      <c r="M280" s="5" t="s">
        <v>44</v>
      </c>
      <c r="N280" s="5">
        <v>22.3</v>
      </c>
      <c r="O280" s="5">
        <v>26.9</v>
      </c>
      <c r="P280" s="5">
        <v>0.89</v>
      </c>
      <c r="Q280" s="5">
        <v>0.39</v>
      </c>
      <c r="R280" s="5">
        <v>0.5</v>
      </c>
      <c r="S280" s="8">
        <v>1.2062780269058295</v>
      </c>
      <c r="T280" s="5" t="s">
        <v>44</v>
      </c>
      <c r="Y280" s="5" t="s">
        <v>44</v>
      </c>
      <c r="AB280" s="9" t="s">
        <v>44</v>
      </c>
      <c r="AC280" s="2" t="s">
        <v>46</v>
      </c>
      <c r="AD280" s="2">
        <v>0</v>
      </c>
      <c r="AE280" s="2" t="s">
        <v>49</v>
      </c>
      <c r="AF280" s="2" t="s">
        <v>85</v>
      </c>
      <c r="AG280" s="5">
        <v>1</v>
      </c>
      <c r="AH280" s="5" t="s">
        <v>87</v>
      </c>
      <c r="AI280" s="5" t="s">
        <v>87</v>
      </c>
      <c r="AJ280" s="5">
        <v>9</v>
      </c>
      <c r="AK280" s="5" t="s">
        <v>34</v>
      </c>
    </row>
    <row r="281" spans="1:37" x14ac:dyDescent="0.3">
      <c r="A281" s="5">
        <v>290</v>
      </c>
      <c r="B281" s="5" t="s">
        <v>40</v>
      </c>
      <c r="C281" s="5">
        <v>22</v>
      </c>
      <c r="D281" s="7">
        <v>1</v>
      </c>
      <c r="E281" s="5">
        <v>167</v>
      </c>
      <c r="F281" s="5">
        <v>69</v>
      </c>
      <c r="G281" s="6">
        <v>24.74</v>
      </c>
      <c r="H281" s="9" t="s">
        <v>33</v>
      </c>
      <c r="I281" s="5">
        <v>28</v>
      </c>
      <c r="J281" s="5" t="s">
        <v>44</v>
      </c>
      <c r="K281" s="5" t="s">
        <v>44</v>
      </c>
      <c r="L281" s="5" t="s">
        <v>44</v>
      </c>
      <c r="M281" s="5" t="s">
        <v>44</v>
      </c>
      <c r="N281" s="5">
        <v>31.9</v>
      </c>
      <c r="O281" s="5">
        <v>27.4</v>
      </c>
      <c r="P281" s="5">
        <v>1.4</v>
      </c>
      <c r="Q281" s="5">
        <v>0.3</v>
      </c>
      <c r="R281" s="5">
        <v>1.1000000000000001</v>
      </c>
      <c r="S281" s="8">
        <v>0.85893416927899691</v>
      </c>
      <c r="T281" s="5" t="s">
        <v>45</v>
      </c>
      <c r="Y281" s="5" t="s">
        <v>44</v>
      </c>
      <c r="AB281" s="9" t="s">
        <v>44</v>
      </c>
      <c r="AC281" s="2" t="s">
        <v>46</v>
      </c>
      <c r="AD281" s="2">
        <v>0</v>
      </c>
      <c r="AE281" s="2" t="s">
        <v>49</v>
      </c>
      <c r="AF281" s="2" t="s">
        <v>33</v>
      </c>
      <c r="AG281" s="5">
        <v>0</v>
      </c>
      <c r="AH281" s="5" t="s">
        <v>33</v>
      </c>
      <c r="AI281" s="5" t="s">
        <v>33</v>
      </c>
      <c r="AJ281" s="5">
        <v>15</v>
      </c>
      <c r="AK281" s="5" t="s">
        <v>34</v>
      </c>
    </row>
    <row r="282" spans="1:37" x14ac:dyDescent="0.3">
      <c r="A282" s="5">
        <v>291</v>
      </c>
      <c r="B282" s="5" t="s">
        <v>39</v>
      </c>
      <c r="C282" s="5">
        <v>56</v>
      </c>
      <c r="D282" s="7">
        <v>28</v>
      </c>
      <c r="E282" s="5">
        <v>167</v>
      </c>
      <c r="F282" s="5">
        <v>69</v>
      </c>
      <c r="G282" s="6">
        <v>24.74</v>
      </c>
      <c r="H282" s="9" t="s">
        <v>33</v>
      </c>
      <c r="I282" s="7">
        <v>32</v>
      </c>
      <c r="J282" s="5" t="s">
        <v>44</v>
      </c>
      <c r="K282" s="5" t="s">
        <v>44</v>
      </c>
      <c r="L282" s="5" t="s">
        <v>44</v>
      </c>
      <c r="M282" s="5" t="s">
        <v>44</v>
      </c>
      <c r="N282" s="5">
        <v>28.7</v>
      </c>
      <c r="O282" s="5">
        <v>26.9</v>
      </c>
      <c r="P282" s="5">
        <v>0.25</v>
      </c>
      <c r="Q282" s="5">
        <v>0.06</v>
      </c>
      <c r="R282" s="5">
        <v>0.19</v>
      </c>
      <c r="S282" s="8">
        <v>0.93728222996515675</v>
      </c>
      <c r="T282" s="5" t="s">
        <v>44</v>
      </c>
      <c r="Y282" s="5" t="s">
        <v>44</v>
      </c>
      <c r="AB282" s="9" t="s">
        <v>44</v>
      </c>
      <c r="AC282" s="2" t="s">
        <v>46</v>
      </c>
      <c r="AD282" s="2">
        <v>0</v>
      </c>
      <c r="AE282" s="2" t="s">
        <v>49</v>
      </c>
      <c r="AF282" s="2" t="s">
        <v>33</v>
      </c>
      <c r="AG282" s="5">
        <v>0</v>
      </c>
      <c r="AH282" s="5" t="s">
        <v>33</v>
      </c>
      <c r="AI282" s="5" t="s">
        <v>33</v>
      </c>
      <c r="AJ282" s="5">
        <v>10</v>
      </c>
      <c r="AK282" s="5" t="s">
        <v>34</v>
      </c>
    </row>
    <row r="283" spans="1:37" x14ac:dyDescent="0.3">
      <c r="A283" s="5">
        <v>292</v>
      </c>
      <c r="B283" s="5" t="s">
        <v>40</v>
      </c>
      <c r="C283" s="5">
        <v>28</v>
      </c>
      <c r="D283" s="7">
        <v>3</v>
      </c>
      <c r="E283" s="5">
        <v>167</v>
      </c>
      <c r="F283" s="5">
        <v>69</v>
      </c>
      <c r="G283" s="6">
        <v>24.74</v>
      </c>
      <c r="H283" s="9" t="s">
        <v>33</v>
      </c>
      <c r="I283" s="7">
        <v>32</v>
      </c>
      <c r="J283" s="5" t="s">
        <v>44</v>
      </c>
      <c r="K283" s="5" t="s">
        <v>44</v>
      </c>
      <c r="L283" s="5" t="s">
        <v>44</v>
      </c>
      <c r="M283" s="5" t="s">
        <v>44</v>
      </c>
      <c r="N283" s="5">
        <v>59.5</v>
      </c>
      <c r="O283" s="5">
        <v>46.1</v>
      </c>
      <c r="P283" s="5">
        <v>0.34</v>
      </c>
      <c r="Q283" s="5">
        <v>0.12</v>
      </c>
      <c r="R283" s="5">
        <v>0.22</v>
      </c>
      <c r="S283" s="8">
        <v>0.77478991596638658</v>
      </c>
      <c r="T283" s="5" t="s">
        <v>44</v>
      </c>
      <c r="Y283" s="5" t="s">
        <v>44</v>
      </c>
      <c r="AB283" s="9" t="s">
        <v>44</v>
      </c>
      <c r="AC283" s="2" t="s">
        <v>46</v>
      </c>
      <c r="AD283" s="2">
        <v>0</v>
      </c>
      <c r="AE283" s="2" t="s">
        <v>49</v>
      </c>
      <c r="AF283" s="2" t="s">
        <v>85</v>
      </c>
      <c r="AG283" s="5">
        <v>1</v>
      </c>
      <c r="AH283" s="5" t="s">
        <v>37</v>
      </c>
      <c r="AI283" s="5" t="s">
        <v>37</v>
      </c>
      <c r="AJ283" s="5">
        <v>12</v>
      </c>
      <c r="AK283" s="5" t="s">
        <v>34</v>
      </c>
    </row>
    <row r="284" spans="1:37" x14ac:dyDescent="0.3">
      <c r="A284" s="5">
        <v>293</v>
      </c>
      <c r="B284" s="5" t="s">
        <v>40</v>
      </c>
      <c r="C284" s="5">
        <v>65</v>
      </c>
      <c r="D284" s="5">
        <v>10</v>
      </c>
      <c r="E284" s="5">
        <v>167</v>
      </c>
      <c r="F284" s="5">
        <v>69</v>
      </c>
      <c r="G284" s="6">
        <v>24.74</v>
      </c>
      <c r="H284" s="9" t="s">
        <v>33</v>
      </c>
      <c r="I284" s="7">
        <v>32</v>
      </c>
      <c r="J284" s="5" t="s">
        <v>44</v>
      </c>
      <c r="K284" s="5" t="s">
        <v>44</v>
      </c>
      <c r="L284" s="5" t="s">
        <v>44</v>
      </c>
      <c r="M284" s="5" t="s">
        <v>44</v>
      </c>
      <c r="N284" s="5">
        <v>32.9</v>
      </c>
      <c r="O284" s="5">
        <v>28.6</v>
      </c>
      <c r="P284" s="5">
        <v>0.8</v>
      </c>
      <c r="Q284" s="5">
        <v>0.1</v>
      </c>
      <c r="R284" s="5">
        <v>0.7</v>
      </c>
      <c r="S284" s="8">
        <v>0.86930091185410341</v>
      </c>
      <c r="T284" s="5" t="s">
        <v>44</v>
      </c>
      <c r="Y284" s="5" t="s">
        <v>44</v>
      </c>
      <c r="AB284" s="9" t="s">
        <v>44</v>
      </c>
      <c r="AC284" s="2" t="s">
        <v>46</v>
      </c>
      <c r="AD284" s="2">
        <v>0</v>
      </c>
      <c r="AE284" s="2" t="s">
        <v>49</v>
      </c>
      <c r="AF284" s="2" t="s">
        <v>33</v>
      </c>
      <c r="AG284" s="5">
        <v>0</v>
      </c>
      <c r="AH284" s="5" t="s">
        <v>33</v>
      </c>
      <c r="AI284" s="5" t="s">
        <v>33</v>
      </c>
      <c r="AJ284" s="5">
        <v>10</v>
      </c>
      <c r="AK284" s="5" t="s">
        <v>34</v>
      </c>
    </row>
    <row r="285" spans="1:37" x14ac:dyDescent="0.3">
      <c r="A285" s="5">
        <v>294</v>
      </c>
      <c r="B285" s="5" t="s">
        <v>39</v>
      </c>
      <c r="C285" s="5">
        <v>48</v>
      </c>
      <c r="D285" s="7">
        <v>20</v>
      </c>
      <c r="E285" s="5">
        <v>167</v>
      </c>
      <c r="F285" s="5">
        <v>69</v>
      </c>
      <c r="G285" s="6">
        <v>24.74</v>
      </c>
      <c r="H285" s="9" t="s">
        <v>33</v>
      </c>
      <c r="I285" s="7">
        <v>32</v>
      </c>
      <c r="J285" s="5" t="s">
        <v>44</v>
      </c>
      <c r="K285" s="5" t="s">
        <v>44</v>
      </c>
      <c r="L285" s="5" t="s">
        <v>44</v>
      </c>
      <c r="M285" s="5" t="s">
        <v>44</v>
      </c>
      <c r="N285" s="5">
        <v>46.4</v>
      </c>
      <c r="O285" s="5">
        <v>51.6</v>
      </c>
      <c r="P285" s="5">
        <v>0.37</v>
      </c>
      <c r="Q285" s="5">
        <v>7.0000000000000007E-2</v>
      </c>
      <c r="R285" s="5">
        <v>0.3</v>
      </c>
      <c r="S285" s="8">
        <v>1.1120689655172415</v>
      </c>
      <c r="T285" s="5" t="s">
        <v>44</v>
      </c>
      <c r="Y285" s="5" t="s">
        <v>44</v>
      </c>
      <c r="AB285" s="9" t="s">
        <v>44</v>
      </c>
      <c r="AC285" s="2" t="s">
        <v>46</v>
      </c>
      <c r="AD285" s="2">
        <v>0</v>
      </c>
      <c r="AE285" s="2" t="s">
        <v>49</v>
      </c>
      <c r="AF285" s="2" t="s">
        <v>85</v>
      </c>
      <c r="AG285" s="5">
        <v>1</v>
      </c>
      <c r="AH285" s="5" t="s">
        <v>88</v>
      </c>
      <c r="AI285" s="5" t="s">
        <v>88</v>
      </c>
      <c r="AJ285" s="5">
        <v>15</v>
      </c>
      <c r="AK285" s="5" t="s">
        <v>34</v>
      </c>
    </row>
    <row r="286" spans="1:37" x14ac:dyDescent="0.3">
      <c r="A286" s="5">
        <v>295</v>
      </c>
      <c r="B286" s="5" t="s">
        <v>40</v>
      </c>
      <c r="C286" s="5">
        <v>43</v>
      </c>
      <c r="D286" s="5">
        <v>10</v>
      </c>
      <c r="E286" s="5">
        <v>167</v>
      </c>
      <c r="F286" s="5">
        <v>69</v>
      </c>
      <c r="G286" s="6">
        <v>24.74</v>
      </c>
      <c r="H286" s="9" t="s">
        <v>33</v>
      </c>
      <c r="I286" s="7">
        <v>32</v>
      </c>
      <c r="J286" s="5" t="s">
        <v>44</v>
      </c>
      <c r="K286" s="5" t="s">
        <v>44</v>
      </c>
      <c r="L286" s="5" t="s">
        <v>44</v>
      </c>
      <c r="M286" s="5" t="s">
        <v>44</v>
      </c>
      <c r="N286" s="5">
        <v>12.8</v>
      </c>
      <c r="O286" s="5">
        <v>16.7</v>
      </c>
      <c r="P286" s="5">
        <v>0.93</v>
      </c>
      <c r="Q286" s="5">
        <v>0.22</v>
      </c>
      <c r="R286" s="5">
        <v>0.71</v>
      </c>
      <c r="S286" s="8">
        <v>1.3046874999999998</v>
      </c>
      <c r="T286" s="5" t="s">
        <v>44</v>
      </c>
      <c r="Y286" s="5" t="s">
        <v>44</v>
      </c>
      <c r="AB286" s="9" t="s">
        <v>44</v>
      </c>
      <c r="AC286" s="2" t="s">
        <v>46</v>
      </c>
      <c r="AD286" s="2">
        <v>0</v>
      </c>
      <c r="AE286" s="2" t="s">
        <v>49</v>
      </c>
      <c r="AF286" s="2" t="s">
        <v>33</v>
      </c>
      <c r="AG286" s="5">
        <v>0</v>
      </c>
      <c r="AH286" s="5" t="s">
        <v>33</v>
      </c>
      <c r="AI286" s="5" t="s">
        <v>33</v>
      </c>
      <c r="AJ286" s="5">
        <v>7</v>
      </c>
      <c r="AK286" s="5" t="s">
        <v>34</v>
      </c>
    </row>
    <row r="287" spans="1:37" x14ac:dyDescent="0.3">
      <c r="D287" s="7"/>
      <c r="G287" s="6"/>
      <c r="H287" s="6"/>
      <c r="I287" s="7"/>
      <c r="J287" s="7"/>
      <c r="K287" s="7"/>
      <c r="L287" s="7"/>
      <c r="M287" s="7"/>
    </row>
    <row r="288" spans="1:37" x14ac:dyDescent="0.3">
      <c r="D288" s="7"/>
      <c r="G288" s="6"/>
      <c r="H288" s="6"/>
      <c r="I288" s="7"/>
      <c r="J288" s="7"/>
      <c r="K288" s="7"/>
      <c r="L288" s="7"/>
      <c r="M288" s="7"/>
    </row>
    <row r="289" spans="4:13" x14ac:dyDescent="0.3">
      <c r="D289" s="7"/>
      <c r="G289" s="6"/>
      <c r="H289" s="6"/>
      <c r="I289" s="7"/>
      <c r="J289" s="7"/>
      <c r="K289" s="7"/>
      <c r="L289" s="7"/>
      <c r="M289" s="7"/>
    </row>
    <row r="290" spans="4:13" x14ac:dyDescent="0.3">
      <c r="D290" s="7"/>
      <c r="G290" s="6"/>
      <c r="H290" s="6"/>
      <c r="I290" s="7"/>
      <c r="J290" s="7"/>
      <c r="K290" s="7"/>
      <c r="L290" s="7"/>
      <c r="M290" s="7"/>
    </row>
    <row r="291" spans="4:13" x14ac:dyDescent="0.3">
      <c r="D291" s="7"/>
      <c r="G291" s="6"/>
      <c r="H291" s="6"/>
      <c r="I291" s="7"/>
      <c r="J291" s="7"/>
      <c r="K291" s="7"/>
      <c r="L291" s="7"/>
      <c r="M291" s="7"/>
    </row>
    <row r="292" spans="4:13" x14ac:dyDescent="0.3">
      <c r="D292" s="7"/>
      <c r="G292" s="6"/>
      <c r="H292" s="6"/>
      <c r="I292" s="7"/>
      <c r="J292" s="7"/>
      <c r="K292" s="7"/>
      <c r="L292" s="7"/>
      <c r="M292" s="7"/>
    </row>
    <row r="293" spans="4:13" x14ac:dyDescent="0.3">
      <c r="D293" s="7"/>
      <c r="G293" s="6"/>
      <c r="H293" s="6"/>
      <c r="I293" s="7"/>
      <c r="J293" s="7"/>
      <c r="K293" s="7"/>
      <c r="L293" s="7"/>
      <c r="M293" s="7"/>
    </row>
    <row r="294" spans="4:13" x14ac:dyDescent="0.3">
      <c r="D294" s="7"/>
      <c r="G294" s="6"/>
      <c r="H294" s="6"/>
      <c r="I294" s="7"/>
      <c r="J294" s="7"/>
      <c r="K294" s="7"/>
      <c r="L294" s="7"/>
      <c r="M294" s="7"/>
    </row>
    <row r="295" spans="4:13" x14ac:dyDescent="0.3">
      <c r="D295" s="7"/>
      <c r="G295" s="6"/>
      <c r="H295" s="6"/>
      <c r="I295" s="7"/>
      <c r="J295" s="7"/>
      <c r="K295" s="7"/>
      <c r="L295" s="7"/>
      <c r="M295" s="7"/>
    </row>
    <row r="296" spans="4:13" x14ac:dyDescent="0.3">
      <c r="D296" s="7"/>
      <c r="G296" s="6"/>
      <c r="H296" s="6"/>
      <c r="I296" s="7"/>
      <c r="J296" s="7"/>
      <c r="K296" s="7"/>
      <c r="L296" s="7"/>
      <c r="M296" s="7"/>
    </row>
    <row r="297" spans="4:13" x14ac:dyDescent="0.3">
      <c r="D297" s="7"/>
      <c r="G297" s="6"/>
      <c r="H297" s="6"/>
      <c r="I297" s="7"/>
      <c r="J297" s="7"/>
      <c r="K297" s="7"/>
      <c r="L297" s="7"/>
      <c r="M297" s="7"/>
    </row>
    <row r="298" spans="4:13" x14ac:dyDescent="0.3">
      <c r="D298" s="7"/>
      <c r="G298" s="6"/>
      <c r="H298" s="6"/>
      <c r="I298" s="7"/>
      <c r="J298" s="7"/>
      <c r="K298" s="7"/>
      <c r="L298" s="7"/>
      <c r="M298" s="7"/>
    </row>
    <row r="299" spans="4:13" x14ac:dyDescent="0.3">
      <c r="D299" s="7"/>
      <c r="G299" s="6"/>
      <c r="H299" s="6"/>
      <c r="I299" s="7"/>
      <c r="J299" s="7"/>
      <c r="K299" s="7"/>
      <c r="L299" s="7"/>
      <c r="M299" s="7"/>
    </row>
    <row r="300" spans="4:13" x14ac:dyDescent="0.3">
      <c r="D300" s="7"/>
      <c r="G300" s="6"/>
      <c r="H300" s="6"/>
      <c r="I300" s="7"/>
      <c r="J300" s="7"/>
      <c r="K300" s="7"/>
      <c r="L300" s="7"/>
      <c r="M300" s="7"/>
    </row>
    <row r="301" spans="4:13" x14ac:dyDescent="0.3">
      <c r="D301" s="7"/>
      <c r="G301" s="6"/>
      <c r="H301" s="6"/>
      <c r="I301" s="7"/>
      <c r="J301" s="7"/>
      <c r="K301" s="7"/>
      <c r="L301" s="7"/>
      <c r="M301" s="7"/>
    </row>
    <row r="302" spans="4:13" x14ac:dyDescent="0.3">
      <c r="D302" s="7"/>
      <c r="G302" s="6"/>
      <c r="H302" s="6"/>
      <c r="I302" s="7"/>
      <c r="J302" s="7"/>
      <c r="K302" s="7"/>
      <c r="L302" s="7"/>
      <c r="M302" s="7"/>
    </row>
    <row r="303" spans="4:13" x14ac:dyDescent="0.3">
      <c r="D303" s="7"/>
      <c r="G303" s="6"/>
      <c r="H303" s="6"/>
      <c r="I303" s="7"/>
      <c r="J303" s="7"/>
      <c r="K303" s="7"/>
      <c r="L303" s="7"/>
      <c r="M303" s="7"/>
    </row>
    <row r="304" spans="4:13" x14ac:dyDescent="0.3">
      <c r="D304" s="7"/>
      <c r="G304" s="6"/>
      <c r="H304" s="6"/>
      <c r="I304" s="7"/>
      <c r="J304" s="7"/>
      <c r="K304" s="7"/>
      <c r="L304" s="7"/>
      <c r="M304" s="7"/>
    </row>
    <row r="305" spans="4:13" x14ac:dyDescent="0.3">
      <c r="D305" s="7"/>
      <c r="G305" s="6"/>
      <c r="H305" s="6"/>
      <c r="I305" s="7"/>
      <c r="J305" s="7"/>
      <c r="K305" s="7"/>
      <c r="L305" s="7"/>
      <c r="M305" s="7"/>
    </row>
    <row r="306" spans="4:13" x14ac:dyDescent="0.3">
      <c r="D306" s="7"/>
      <c r="I306" s="7"/>
      <c r="J306" s="7"/>
      <c r="K306" s="7"/>
      <c r="L306" s="7"/>
      <c r="M306" s="7"/>
    </row>
    <row r="307" spans="4:13" x14ac:dyDescent="0.3">
      <c r="D307" s="7"/>
      <c r="I307" s="7"/>
      <c r="J307" s="7"/>
      <c r="K307" s="7"/>
      <c r="L307" s="7"/>
      <c r="M307" s="7"/>
    </row>
    <row r="308" spans="4:13" x14ac:dyDescent="0.3">
      <c r="D308" s="7"/>
      <c r="I308" s="7"/>
      <c r="J308" s="7"/>
      <c r="K308" s="7"/>
      <c r="L308" s="7"/>
      <c r="M308" s="7"/>
    </row>
    <row r="309" spans="4:13" x14ac:dyDescent="0.3">
      <c r="D309" s="7"/>
      <c r="I309" s="7"/>
      <c r="J309" s="7"/>
      <c r="K309" s="7"/>
      <c r="L309" s="7"/>
      <c r="M309" s="7"/>
    </row>
    <row r="310" spans="4:13" x14ac:dyDescent="0.3">
      <c r="D310" s="7"/>
      <c r="I310" s="7"/>
      <c r="J310" s="7"/>
      <c r="K310" s="7"/>
      <c r="L310" s="7"/>
      <c r="M310" s="7"/>
    </row>
    <row r="311" spans="4:13" x14ac:dyDescent="0.3">
      <c r="D311" s="7"/>
      <c r="I311" s="7"/>
      <c r="J311" s="7"/>
      <c r="K311" s="7"/>
      <c r="L311" s="7"/>
      <c r="M311" s="7"/>
    </row>
    <row r="312" spans="4:13" x14ac:dyDescent="0.3">
      <c r="D312" s="7"/>
      <c r="I312" s="7"/>
      <c r="J312" s="7"/>
      <c r="K312" s="7"/>
      <c r="L312" s="7"/>
      <c r="M312" s="7"/>
    </row>
    <row r="313" spans="4:13" x14ac:dyDescent="0.3">
      <c r="D313" s="7"/>
      <c r="I313" s="7"/>
      <c r="J313" s="7"/>
      <c r="K313" s="7"/>
      <c r="L313" s="7"/>
      <c r="M313" s="7"/>
    </row>
    <row r="314" spans="4:13" x14ac:dyDescent="0.3">
      <c r="D314" s="7"/>
      <c r="I314" s="7"/>
      <c r="J314" s="7"/>
      <c r="K314" s="7"/>
      <c r="L314" s="7"/>
      <c r="M314" s="7"/>
    </row>
    <row r="315" spans="4:13" x14ac:dyDescent="0.3">
      <c r="D315" s="7"/>
      <c r="I315" s="7"/>
      <c r="J315" s="7"/>
      <c r="K315" s="7"/>
      <c r="L315" s="7"/>
      <c r="M315" s="7"/>
    </row>
    <row r="316" spans="4:13" x14ac:dyDescent="0.3">
      <c r="D316" s="7"/>
      <c r="I316" s="7"/>
      <c r="J316" s="7"/>
      <c r="K316" s="7"/>
      <c r="L316" s="7"/>
      <c r="M316" s="7"/>
    </row>
    <row r="317" spans="4:13" x14ac:dyDescent="0.3">
      <c r="D317" s="7"/>
      <c r="I317" s="7"/>
      <c r="J317" s="7"/>
      <c r="K317" s="7"/>
      <c r="L317" s="7"/>
      <c r="M317" s="7"/>
    </row>
    <row r="318" spans="4:13" x14ac:dyDescent="0.3">
      <c r="D318" s="7"/>
      <c r="I318" s="7"/>
      <c r="J318" s="7"/>
      <c r="K318" s="7"/>
      <c r="L318" s="7"/>
      <c r="M318" s="7"/>
    </row>
    <row r="319" spans="4:13" x14ac:dyDescent="0.3">
      <c r="D319" s="7"/>
      <c r="I319" s="7"/>
      <c r="J319" s="7"/>
      <c r="K319" s="7"/>
      <c r="L319" s="7"/>
      <c r="M319" s="7"/>
    </row>
    <row r="320" spans="4:13" x14ac:dyDescent="0.3">
      <c r="D320" s="7"/>
      <c r="I320" s="7"/>
      <c r="J320" s="7"/>
      <c r="K320" s="7"/>
      <c r="L320" s="7"/>
      <c r="M320" s="7"/>
    </row>
    <row r="321" spans="4:13" x14ac:dyDescent="0.3">
      <c r="D321" s="7"/>
      <c r="I321" s="7"/>
      <c r="J321" s="7"/>
      <c r="K321" s="7"/>
      <c r="L321" s="7"/>
      <c r="M321" s="7"/>
    </row>
    <row r="322" spans="4:13" x14ac:dyDescent="0.3">
      <c r="D322" s="7"/>
      <c r="I322" s="7"/>
      <c r="J322" s="7"/>
      <c r="K322" s="7"/>
      <c r="L322" s="7"/>
      <c r="M322" s="7"/>
    </row>
    <row r="323" spans="4:13" x14ac:dyDescent="0.3">
      <c r="D323" s="7"/>
      <c r="I323" s="7"/>
      <c r="J323" s="7"/>
      <c r="K323" s="7"/>
      <c r="L323" s="7"/>
      <c r="M323" s="7"/>
    </row>
    <row r="324" spans="4:13" x14ac:dyDescent="0.3">
      <c r="D324" s="7"/>
      <c r="I324" s="7"/>
      <c r="J324" s="7"/>
      <c r="K324" s="7"/>
      <c r="L324" s="7"/>
      <c r="M324" s="7"/>
    </row>
    <row r="325" spans="4:13" x14ac:dyDescent="0.3">
      <c r="D325" s="7"/>
      <c r="I325" s="7"/>
      <c r="J325" s="7"/>
      <c r="K325" s="7"/>
      <c r="L325" s="7"/>
      <c r="M325" s="7"/>
    </row>
    <row r="326" spans="4:13" x14ac:dyDescent="0.3">
      <c r="D326" s="7"/>
      <c r="I326" s="7"/>
      <c r="J326" s="7"/>
      <c r="K326" s="7"/>
      <c r="L326" s="7"/>
      <c r="M326" s="7"/>
    </row>
    <row r="327" spans="4:13" x14ac:dyDescent="0.3">
      <c r="D327" s="7"/>
      <c r="I327" s="7"/>
      <c r="J327" s="7"/>
      <c r="K327" s="7"/>
      <c r="L327" s="7"/>
      <c r="M327" s="7"/>
    </row>
    <row r="328" spans="4:13" x14ac:dyDescent="0.3">
      <c r="D328" s="7"/>
      <c r="I328" s="7"/>
      <c r="J328" s="7"/>
      <c r="K328" s="7"/>
      <c r="L328" s="7"/>
      <c r="M328" s="7"/>
    </row>
    <row r="329" spans="4:13" x14ac:dyDescent="0.3">
      <c r="D329" s="7"/>
      <c r="I329" s="7"/>
      <c r="J329" s="7"/>
      <c r="K329" s="7"/>
      <c r="L329" s="7"/>
      <c r="M329" s="7"/>
    </row>
    <row r="330" spans="4:13" x14ac:dyDescent="0.3">
      <c r="D330" s="7"/>
      <c r="I330" s="7"/>
      <c r="J330" s="7"/>
      <c r="K330" s="7"/>
      <c r="L330" s="7"/>
      <c r="M330" s="7"/>
    </row>
    <row r="331" spans="4:13" x14ac:dyDescent="0.3">
      <c r="D331" s="7"/>
      <c r="I331" s="7"/>
      <c r="J331" s="7"/>
      <c r="K331" s="7"/>
      <c r="L331" s="7"/>
      <c r="M331" s="7"/>
    </row>
    <row r="332" spans="4:13" x14ac:dyDescent="0.3">
      <c r="D332" s="7"/>
      <c r="I332" s="7"/>
      <c r="J332" s="7"/>
      <c r="K332" s="7"/>
      <c r="L332" s="7"/>
      <c r="M332" s="7"/>
    </row>
    <row r="333" spans="4:13" x14ac:dyDescent="0.3">
      <c r="D333" s="7"/>
      <c r="I333" s="7"/>
      <c r="J333" s="7"/>
      <c r="K333" s="7"/>
      <c r="L333" s="7"/>
      <c r="M333" s="7"/>
    </row>
    <row r="334" spans="4:13" x14ac:dyDescent="0.3">
      <c r="D334" s="7"/>
      <c r="I334" s="7"/>
      <c r="J334" s="7"/>
      <c r="K334" s="7"/>
      <c r="L334" s="7"/>
      <c r="M334" s="7"/>
    </row>
    <row r="335" spans="4:13" x14ac:dyDescent="0.3">
      <c r="D335" s="7"/>
      <c r="I335" s="7"/>
      <c r="J335" s="7"/>
      <c r="K335" s="7"/>
      <c r="L335" s="7"/>
      <c r="M335" s="7"/>
    </row>
    <row r="336" spans="4:13" x14ac:dyDescent="0.3">
      <c r="D336" s="7"/>
      <c r="I336" s="7"/>
      <c r="J336" s="7"/>
      <c r="K336" s="7"/>
      <c r="L336" s="7"/>
      <c r="M336" s="7"/>
    </row>
    <row r="337" spans="4:13" x14ac:dyDescent="0.3">
      <c r="D337" s="7"/>
      <c r="I337" s="7"/>
      <c r="J337" s="7"/>
      <c r="K337" s="7"/>
      <c r="L337" s="7"/>
      <c r="M337" s="7"/>
    </row>
    <row r="338" spans="4:13" x14ac:dyDescent="0.3">
      <c r="D338" s="7"/>
      <c r="I338" s="7"/>
      <c r="J338" s="7"/>
      <c r="K338" s="7"/>
      <c r="L338" s="7"/>
      <c r="M338" s="7"/>
    </row>
    <row r="339" spans="4:13" x14ac:dyDescent="0.3">
      <c r="D339" s="7"/>
      <c r="I339" s="7"/>
      <c r="J339" s="7"/>
      <c r="K339" s="7"/>
      <c r="L339" s="7"/>
      <c r="M339" s="7"/>
    </row>
    <row r="340" spans="4:13" x14ac:dyDescent="0.3">
      <c r="D340" s="7"/>
      <c r="I340" s="7"/>
      <c r="J340" s="7"/>
      <c r="K340" s="7"/>
      <c r="L340" s="7"/>
      <c r="M340" s="7"/>
    </row>
    <row r="341" spans="4:13" x14ac:dyDescent="0.3">
      <c r="D341" s="7"/>
      <c r="I341" s="7"/>
      <c r="J341" s="7"/>
      <c r="K341" s="7"/>
      <c r="L341" s="7"/>
      <c r="M341" s="7"/>
    </row>
    <row r="342" spans="4:13" x14ac:dyDescent="0.3">
      <c r="D342" s="7"/>
      <c r="I342" s="7"/>
      <c r="J342" s="7"/>
      <c r="K342" s="7"/>
      <c r="L342" s="7"/>
      <c r="M342" s="7"/>
    </row>
    <row r="343" spans="4:13" x14ac:dyDescent="0.3">
      <c r="D343" s="7"/>
      <c r="I343" s="7"/>
      <c r="J343" s="7"/>
      <c r="K343" s="7"/>
      <c r="L343" s="7"/>
      <c r="M343" s="7"/>
    </row>
    <row r="344" spans="4:13" x14ac:dyDescent="0.3">
      <c r="D344" s="7"/>
      <c r="I344" s="7"/>
      <c r="J344" s="7"/>
      <c r="K344" s="7"/>
      <c r="L344" s="7"/>
      <c r="M344" s="7"/>
    </row>
    <row r="345" spans="4:13" x14ac:dyDescent="0.3">
      <c r="D345" s="7"/>
      <c r="I345" s="7"/>
      <c r="J345" s="7"/>
      <c r="K345" s="7"/>
      <c r="L345" s="7"/>
      <c r="M345" s="7"/>
    </row>
    <row r="346" spans="4:13" x14ac:dyDescent="0.3">
      <c r="D346" s="7"/>
      <c r="I346" s="7"/>
      <c r="J346" s="7"/>
      <c r="K346" s="7"/>
      <c r="L346" s="7"/>
      <c r="M346" s="7"/>
    </row>
    <row r="347" spans="4:13" x14ac:dyDescent="0.3">
      <c r="D347" s="7"/>
      <c r="I347" s="7"/>
      <c r="J347" s="7"/>
      <c r="K347" s="7"/>
      <c r="L347" s="7"/>
      <c r="M347" s="7"/>
    </row>
    <row r="348" spans="4:13" x14ac:dyDescent="0.3">
      <c r="D348" s="7"/>
      <c r="I348" s="7"/>
      <c r="J348" s="7"/>
      <c r="K348" s="7"/>
      <c r="L348" s="7"/>
      <c r="M348" s="7"/>
    </row>
    <row r="349" spans="4:13" x14ac:dyDescent="0.3">
      <c r="D349" s="7"/>
      <c r="I349" s="7"/>
      <c r="J349" s="7"/>
      <c r="K349" s="7"/>
      <c r="L349" s="7"/>
      <c r="M349" s="7"/>
    </row>
    <row r="350" spans="4:13" x14ac:dyDescent="0.3">
      <c r="D350" s="7"/>
      <c r="I350" s="7"/>
      <c r="J350" s="7"/>
      <c r="K350" s="7"/>
      <c r="L350" s="7"/>
      <c r="M350" s="7"/>
    </row>
    <row r="351" spans="4:13" x14ac:dyDescent="0.3">
      <c r="D351" s="7"/>
      <c r="I351" s="7"/>
      <c r="J351" s="7"/>
      <c r="K351" s="7"/>
      <c r="L351" s="7"/>
      <c r="M351" s="7"/>
    </row>
    <row r="352" spans="4:13" x14ac:dyDescent="0.3">
      <c r="D352" s="7"/>
      <c r="I352" s="7"/>
      <c r="J352" s="7"/>
      <c r="K352" s="7"/>
      <c r="L352" s="7"/>
      <c r="M352" s="7"/>
    </row>
    <row r="353" spans="4:13" x14ac:dyDescent="0.3">
      <c r="D353" s="7"/>
      <c r="I353" s="7"/>
      <c r="J353" s="7"/>
      <c r="K353" s="7"/>
      <c r="L353" s="7"/>
      <c r="M353" s="7"/>
    </row>
    <row r="354" spans="4:13" x14ac:dyDescent="0.3">
      <c r="D354" s="7"/>
      <c r="I354" s="7"/>
      <c r="J354" s="7"/>
      <c r="K354" s="7"/>
      <c r="L354" s="7"/>
      <c r="M354" s="7"/>
    </row>
    <row r="355" spans="4:13" x14ac:dyDescent="0.3">
      <c r="D355" s="7"/>
      <c r="I355" s="7"/>
      <c r="J355" s="7"/>
      <c r="K355" s="7"/>
      <c r="L355" s="7"/>
      <c r="M355" s="7"/>
    </row>
    <row r="356" spans="4:13" x14ac:dyDescent="0.3">
      <c r="D356" s="7"/>
      <c r="I356" s="7"/>
      <c r="J356" s="7"/>
      <c r="K356" s="7"/>
      <c r="L356" s="7"/>
      <c r="M356" s="7"/>
    </row>
    <row r="357" spans="4:13" x14ac:dyDescent="0.3">
      <c r="D357" s="7"/>
      <c r="I357" s="7"/>
      <c r="J357" s="7"/>
      <c r="K357" s="7"/>
      <c r="L357" s="7"/>
      <c r="M357" s="7"/>
    </row>
    <row r="358" spans="4:13" x14ac:dyDescent="0.3">
      <c r="D358" s="7"/>
      <c r="I358" s="7"/>
      <c r="J358" s="7"/>
      <c r="K358" s="7"/>
      <c r="L358" s="7"/>
      <c r="M358" s="7"/>
    </row>
    <row r="359" spans="4:13" x14ac:dyDescent="0.3">
      <c r="D359" s="7"/>
      <c r="I359" s="7"/>
      <c r="J359" s="7"/>
      <c r="K359" s="7"/>
      <c r="L359" s="7"/>
      <c r="M359" s="7"/>
    </row>
    <row r="360" spans="4:13" x14ac:dyDescent="0.3">
      <c r="D360" s="7"/>
      <c r="I360" s="7"/>
      <c r="J360" s="7"/>
      <c r="K360" s="7"/>
      <c r="L360" s="7"/>
      <c r="M360" s="7"/>
    </row>
    <row r="361" spans="4:13" x14ac:dyDescent="0.3">
      <c r="D361" s="7"/>
      <c r="I361" s="7"/>
      <c r="J361" s="7"/>
      <c r="K361" s="7"/>
      <c r="L361" s="7"/>
      <c r="M361" s="7"/>
    </row>
    <row r="362" spans="4:13" x14ac:dyDescent="0.3">
      <c r="D362" s="7"/>
      <c r="I362" s="7"/>
      <c r="J362" s="7"/>
      <c r="K362" s="7"/>
      <c r="L362" s="7"/>
      <c r="M362" s="7"/>
    </row>
    <row r="363" spans="4:13" x14ac:dyDescent="0.3">
      <c r="D363" s="7"/>
      <c r="I363" s="7"/>
      <c r="J363" s="7"/>
      <c r="K363" s="7"/>
      <c r="L363" s="7"/>
      <c r="M363" s="7"/>
    </row>
    <row r="364" spans="4:13" x14ac:dyDescent="0.3">
      <c r="D364" s="7"/>
      <c r="I364" s="7"/>
      <c r="J364" s="7"/>
      <c r="K364" s="7"/>
      <c r="L364" s="7"/>
      <c r="M364" s="7"/>
    </row>
    <row r="365" spans="4:13" x14ac:dyDescent="0.3">
      <c r="D365" s="7"/>
      <c r="I365" s="7"/>
      <c r="J365" s="7"/>
      <c r="K365" s="7"/>
      <c r="L365" s="7"/>
      <c r="M365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043A6-9DA9-4EB2-950C-990F49C3D638}">
  <dimension ref="A1:AK286"/>
  <sheetViews>
    <sheetView workbookViewId="0">
      <selection sqref="A1:A1048576"/>
    </sheetView>
  </sheetViews>
  <sheetFormatPr defaultRowHeight="14.4" x14ac:dyDescent="0.3"/>
  <sheetData>
    <row r="1" spans="1:37" ht="100.8" x14ac:dyDescent="0.3">
      <c r="A1" s="3" t="s">
        <v>26</v>
      </c>
      <c r="B1" s="3" t="s">
        <v>0</v>
      </c>
      <c r="C1" s="3" t="s">
        <v>1</v>
      </c>
      <c r="D1" s="4" t="s">
        <v>2</v>
      </c>
      <c r="E1" s="3" t="s">
        <v>3</v>
      </c>
      <c r="F1" s="3" t="s">
        <v>4</v>
      </c>
      <c r="G1" s="3" t="s">
        <v>5</v>
      </c>
      <c r="H1" s="3" t="s">
        <v>18</v>
      </c>
      <c r="I1" s="4" t="s">
        <v>6</v>
      </c>
      <c r="J1" s="5" t="s">
        <v>19</v>
      </c>
      <c r="K1" s="5" t="s">
        <v>20</v>
      </c>
      <c r="L1" s="5" t="s">
        <v>21</v>
      </c>
      <c r="M1" s="5" t="s">
        <v>22</v>
      </c>
      <c r="N1" s="3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12</v>
      </c>
      <c r="T1" s="5" t="s">
        <v>27</v>
      </c>
      <c r="U1" s="5" t="s">
        <v>13</v>
      </c>
      <c r="V1" s="5" t="s">
        <v>14</v>
      </c>
      <c r="W1" s="4" t="s">
        <v>15</v>
      </c>
      <c r="X1" s="4" t="s">
        <v>16</v>
      </c>
      <c r="Y1" s="5" t="s">
        <v>23</v>
      </c>
      <c r="Z1" s="5" t="s">
        <v>25</v>
      </c>
      <c r="AA1" s="4" t="s">
        <v>17</v>
      </c>
      <c r="AB1" s="3" t="s">
        <v>24</v>
      </c>
      <c r="AC1" s="4" t="s">
        <v>28</v>
      </c>
      <c r="AD1" s="1" t="s">
        <v>29</v>
      </c>
      <c r="AE1" s="4" t="s">
        <v>51</v>
      </c>
      <c r="AF1" s="4" t="s">
        <v>84</v>
      </c>
      <c r="AG1" s="1" t="s">
        <v>30</v>
      </c>
      <c r="AH1" s="1" t="s">
        <v>53</v>
      </c>
      <c r="AI1" s="1" t="s">
        <v>54</v>
      </c>
      <c r="AJ1" s="1" t="s">
        <v>31</v>
      </c>
      <c r="AK1" s="1" t="s">
        <v>32</v>
      </c>
    </row>
    <row r="2" spans="1:37" ht="43.2" x14ac:dyDescent="0.3">
      <c r="A2" s="5">
        <v>2</v>
      </c>
      <c r="B2" s="5" t="s">
        <v>39</v>
      </c>
      <c r="C2" s="5">
        <v>24</v>
      </c>
      <c r="D2" s="2">
        <v>2</v>
      </c>
      <c r="E2" s="5">
        <v>173</v>
      </c>
      <c r="F2" s="5">
        <v>91</v>
      </c>
      <c r="G2" s="6">
        <v>30.405292525644022</v>
      </c>
      <c r="H2" s="9" t="s">
        <v>41</v>
      </c>
      <c r="I2" s="2">
        <v>38</v>
      </c>
      <c r="J2" s="5" t="s">
        <v>44</v>
      </c>
      <c r="K2" s="5" t="s">
        <v>44</v>
      </c>
      <c r="L2" s="5" t="s">
        <v>44</v>
      </c>
      <c r="M2" s="5" t="s">
        <v>44</v>
      </c>
      <c r="N2" s="5">
        <v>21.8</v>
      </c>
      <c r="O2" s="5">
        <v>26.7</v>
      </c>
      <c r="P2" s="5">
        <v>0.7</v>
      </c>
      <c r="Q2" s="5">
        <v>0.19</v>
      </c>
      <c r="R2" s="5">
        <v>0.51</v>
      </c>
      <c r="S2" s="8">
        <v>1.2247706422018347</v>
      </c>
      <c r="T2" s="5" t="s">
        <v>44</v>
      </c>
      <c r="U2" s="5"/>
      <c r="V2" s="5"/>
      <c r="W2" s="5"/>
      <c r="X2" s="5"/>
      <c r="Y2" s="5" t="s">
        <v>44</v>
      </c>
      <c r="Z2" s="5"/>
      <c r="AA2" s="5"/>
      <c r="AB2" s="9" t="s">
        <v>44</v>
      </c>
      <c r="AC2" s="2" t="s">
        <v>46</v>
      </c>
      <c r="AD2" s="2">
        <v>0</v>
      </c>
      <c r="AE2" s="2" t="s">
        <v>48</v>
      </c>
      <c r="AF2" s="2" t="str">
        <f>IF(AG2=0,"Normal",IF(AG2=1,"Abnormal",""))</f>
        <v>Normal</v>
      </c>
      <c r="AG2" s="5">
        <v>0</v>
      </c>
      <c r="AH2" s="5" t="str">
        <f>IF(AG2=0,"Normal",
IF(AND(T2="Yes",S2&gt;=2),"ALD",
IF(AND(T2="Yes",S2&gt;=2,O2&gt;N2),"ALD",
IF(AND(T2="No",S2&gt;=2),"ALD",
IF(AND(G2&gt;=25,OR(T2="No",AND(T2="Yes",S2&lt;1))),"NAFLD",
IF(AND(N2&gt;O2,N2&gt;40,S2&lt;1),"NAFLD",
IF(AND(T2="Yes",S2&lt;1,G2&gt;=25,N2&gt;O2),"NAFLD",
IF(OR(P2&gt;1.2,Q2&gt;0.3),"Hyperbilirubinemia",
"Others"))))))))</f>
        <v>Normal</v>
      </c>
      <c r="AI2" s="5" t="str">
        <f>IF(AG2=0,"Normal",
IF(AND(T2="Yes",S2&gt;=2),"ALD (Confirmed)",
IF(AND(T2="Yes",S2&gt;=2,O2&gt;N2),"ALD (Confirmed)",
IF(AND(T2="No",S2&gt;=2),"ALD (Probable)",
IF(AND(G2&gt;=25,OR(T2="No",AND(T2="Yes",S2&lt;1))),"NAFLD",
IF(AND(N2&gt;O2,N2&gt;40,S2&lt;1),"NAFLD",
IF(AND(T2="Yes",S2&lt;1,G2&gt;=25,N2&gt;O2),"NAFLD",
IF(OR(P2&gt;1.2,Q2&gt;0.3),"Hyperbilirubinemia",
"Others"))))))))</f>
        <v>Normal</v>
      </c>
      <c r="AJ2" s="5">
        <v>16</v>
      </c>
      <c r="AK2" s="5" t="s">
        <v>34</v>
      </c>
    </row>
    <row r="3" spans="1:37" ht="43.2" x14ac:dyDescent="0.3">
      <c r="A3" s="5">
        <v>3</v>
      </c>
      <c r="B3" s="5" t="s">
        <v>39</v>
      </c>
      <c r="C3" s="5">
        <v>35</v>
      </c>
      <c r="D3" s="2">
        <v>2</v>
      </c>
      <c r="E3" s="5">
        <v>168</v>
      </c>
      <c r="F3" s="5">
        <v>75</v>
      </c>
      <c r="G3" s="6">
        <v>26.573129251700678</v>
      </c>
      <c r="H3" s="9" t="s">
        <v>42</v>
      </c>
      <c r="I3" s="2">
        <v>34</v>
      </c>
      <c r="J3" s="5" t="s">
        <v>44</v>
      </c>
      <c r="K3" s="5" t="s">
        <v>44</v>
      </c>
      <c r="L3" s="5" t="s">
        <v>44</v>
      </c>
      <c r="M3" s="5" t="s">
        <v>44</v>
      </c>
      <c r="N3" s="5">
        <v>42.8</v>
      </c>
      <c r="O3" s="5">
        <v>32.799999999999997</v>
      </c>
      <c r="P3" s="5">
        <v>1.02</v>
      </c>
      <c r="Q3" s="5">
        <v>0.12</v>
      </c>
      <c r="R3" s="5">
        <v>0.9</v>
      </c>
      <c r="S3" s="8">
        <v>0.76635514018691586</v>
      </c>
      <c r="T3" s="5" t="s">
        <v>45</v>
      </c>
      <c r="U3" s="5" t="s">
        <v>55</v>
      </c>
      <c r="V3" s="5" t="s">
        <v>59</v>
      </c>
      <c r="W3" s="5" t="s">
        <v>64</v>
      </c>
      <c r="X3" s="5" t="s">
        <v>67</v>
      </c>
      <c r="Y3" s="5" t="s">
        <v>45</v>
      </c>
      <c r="Z3" s="5" t="s">
        <v>74</v>
      </c>
      <c r="AA3" s="5" t="s">
        <v>78</v>
      </c>
      <c r="AB3" s="9" t="s">
        <v>45</v>
      </c>
      <c r="AC3" s="2" t="s">
        <v>46</v>
      </c>
      <c r="AD3" s="2">
        <v>0</v>
      </c>
      <c r="AE3" s="2" t="s">
        <v>48</v>
      </c>
      <c r="AF3" s="2" t="str">
        <f t="shared" ref="AF3:AF66" si="0">IF(AG3=0,"Normal",IF(AG3=1,"Abnormal",""))</f>
        <v>Normal</v>
      </c>
      <c r="AG3" s="5">
        <v>0</v>
      </c>
      <c r="AH3" s="5" t="str">
        <f>IF(AG3=0,"Normal",
IF(AND(T3="Yes",S3&gt;=2),"ALD",
IF(AND(T3="Yes",S3&gt;=2,O3&gt;N3),"ALD",
IF(AND(T3="No",S3&gt;=2),"ALD",
IF(AND(G3&gt;=25,OR(T3="No",AND(T3="Yes",S3&lt;1))),"NAFLD",
IF(AND(N3&gt;O3,N3&gt;40,S3&lt;1),"NAFLD",
IF(AND(T3="Yes",S3&lt;1,G3&gt;=25,N3&gt;O3),"NAFLD",
IF(OR(P3&gt;1.2,Q3&gt;0.3),"Hyperbilirubinemia",
"Others"))))))))</f>
        <v>Normal</v>
      </c>
      <c r="AI3" s="5" t="str">
        <f>IF(AG3=0,"Normal",
IF(AND(T3="Yes",S3&gt;=2),"ALD (Confirmed)",
IF(AND(T3="Yes",S3&gt;=2,O3&gt;N3),"ALD (Confirmed)",
IF(AND(T3="No",S3&gt;=2),"ALD (Probable)",
IF(AND(G3&gt;=25,OR(T3="No",AND(T3="Yes",S3&lt;1))),"NAFLD",
IF(AND(N3&gt;O3,N3&gt;40,S3&lt;1),"NAFLD",
IF(AND(T3="Yes",S3&lt;1,G3&gt;=25,N3&gt;O3),"NAFLD",
IF(OR(P3&gt;1.2,Q3&gt;0.3),"Hyperbilirubinemia",
"Others"))))))))</f>
        <v>Normal</v>
      </c>
      <c r="AJ3" s="5">
        <v>30</v>
      </c>
      <c r="AK3" s="5" t="s">
        <v>35</v>
      </c>
    </row>
    <row r="4" spans="1:37" ht="43.2" x14ac:dyDescent="0.3">
      <c r="A4" s="5">
        <v>4</v>
      </c>
      <c r="B4" s="5" t="s">
        <v>39</v>
      </c>
      <c r="C4" s="5">
        <v>24</v>
      </c>
      <c r="D4" s="2">
        <v>1</v>
      </c>
      <c r="E4" s="5">
        <v>164</v>
      </c>
      <c r="F4" s="5">
        <v>60</v>
      </c>
      <c r="G4" s="6">
        <v>22.308149910767401</v>
      </c>
      <c r="H4" s="9" t="s">
        <v>33</v>
      </c>
      <c r="I4" s="2">
        <v>30</v>
      </c>
      <c r="J4" s="5" t="s">
        <v>44</v>
      </c>
      <c r="K4" s="5" t="s">
        <v>44</v>
      </c>
      <c r="L4" s="5" t="s">
        <v>44</v>
      </c>
      <c r="M4" s="5" t="s">
        <v>45</v>
      </c>
      <c r="N4" s="5">
        <v>14.87</v>
      </c>
      <c r="O4" s="5">
        <v>52.31</v>
      </c>
      <c r="P4" s="5">
        <v>0.23</v>
      </c>
      <c r="Q4" s="5">
        <v>0.14000000000000001</v>
      </c>
      <c r="R4" s="5">
        <v>0.09</v>
      </c>
      <c r="S4" s="8">
        <v>3.517821116341628</v>
      </c>
      <c r="T4" s="5" t="s">
        <v>44</v>
      </c>
      <c r="U4" s="5"/>
      <c r="V4" s="5"/>
      <c r="W4" s="5"/>
      <c r="X4" s="5"/>
      <c r="Y4" s="5" t="s">
        <v>45</v>
      </c>
      <c r="Z4" s="5" t="s">
        <v>75</v>
      </c>
      <c r="AA4" s="5" t="s">
        <v>79</v>
      </c>
      <c r="AB4" s="9" t="s">
        <v>44</v>
      </c>
      <c r="AC4" s="2" t="s">
        <v>46</v>
      </c>
      <c r="AD4" s="2">
        <v>0</v>
      </c>
      <c r="AE4" s="2" t="s">
        <v>48</v>
      </c>
      <c r="AF4" s="2" t="str">
        <f t="shared" si="0"/>
        <v>Abnormal</v>
      </c>
      <c r="AG4" s="5">
        <v>1</v>
      </c>
      <c r="AH4" s="5" t="str">
        <f>IF(AG4=0,"Normal",
IF(AND(T4="Yes",S4&gt;=2),"ALD",
IF(AND(T4="Yes",S4&gt;=2,O4&gt;N4),"ALD",
IF(AND(T4="No",S4&gt;=2),"ALD",
IF(AND(G4&gt;=25,OR(T4="No",AND(T4="Yes",S4&lt;1))),"NAFLD",
IF(AND(N4&gt;O4,N4&gt;40,S4&lt;1),"NAFLD",
IF(AND(T4="Yes",S4&lt;1,G4&gt;=25,N4&gt;O4),"NAFLD",
IF(OR(P4&gt;1.2,Q4&gt;0.3),"Hyperbilirubinemia",
"Others"))))))))</f>
        <v>ALD</v>
      </c>
      <c r="AI4" s="5" t="str">
        <f>IF(AG4=0,"Normal",
IF(AND(T4="Yes",S4&gt;=2),"ALD (Confirmed)",
IF(AND(T4="Yes",S4&gt;=2,O4&gt;N4),"ALD (Confirmed)",
IF(AND(T4="No",S4&gt;=2),"ALD (Probable)",
IF(AND(G4&gt;=25,OR(T4="No",AND(T4="Yes",S4&lt;1))),"NAFLD",
IF(AND(N4&gt;O4,N4&gt;40,S4&lt;1),"NAFLD",
IF(AND(T4="Yes",S4&lt;1,G4&gt;=25,N4&gt;O4),"NAFLD",
IF(OR(P4&gt;1.2,Q4&gt;0.3),"Hyperbilirubinemia",
"Others"))))))))</f>
        <v>ALD (Probable)</v>
      </c>
      <c r="AJ4" s="5">
        <v>9</v>
      </c>
      <c r="AK4" s="5" t="s">
        <v>34</v>
      </c>
    </row>
    <row r="5" spans="1:37" ht="43.2" x14ac:dyDescent="0.3">
      <c r="A5" s="5">
        <v>5</v>
      </c>
      <c r="B5" s="5" t="s">
        <v>39</v>
      </c>
      <c r="C5" s="5">
        <v>32</v>
      </c>
      <c r="D5" s="2">
        <v>7</v>
      </c>
      <c r="E5" s="5">
        <v>160</v>
      </c>
      <c r="F5" s="5">
        <v>78</v>
      </c>
      <c r="G5" s="6">
        <v>30.46875</v>
      </c>
      <c r="H5" s="9" t="s">
        <v>41</v>
      </c>
      <c r="I5" s="2">
        <v>34</v>
      </c>
      <c r="J5" s="5" t="s">
        <v>44</v>
      </c>
      <c r="K5" s="5" t="s">
        <v>44</v>
      </c>
      <c r="L5" s="5" t="s">
        <v>44</v>
      </c>
      <c r="M5" s="5" t="s">
        <v>44</v>
      </c>
      <c r="N5" s="5">
        <v>39.1</v>
      </c>
      <c r="O5" s="5">
        <v>43.8</v>
      </c>
      <c r="P5" s="5">
        <v>1.01</v>
      </c>
      <c r="Q5" s="5">
        <v>0.22</v>
      </c>
      <c r="R5" s="5">
        <v>0.79</v>
      </c>
      <c r="S5" s="8">
        <v>1.1202046035805626</v>
      </c>
      <c r="T5" s="5" t="s">
        <v>44</v>
      </c>
      <c r="U5" s="5"/>
      <c r="V5" s="5"/>
      <c r="W5" s="5"/>
      <c r="X5" s="5"/>
      <c r="Y5" s="5" t="s">
        <v>44</v>
      </c>
      <c r="Z5" s="5"/>
      <c r="AA5" s="5"/>
      <c r="AB5" s="9" t="s">
        <v>44</v>
      </c>
      <c r="AC5" s="2" t="s">
        <v>46</v>
      </c>
      <c r="AD5" s="2">
        <v>0</v>
      </c>
      <c r="AE5" s="2" t="s">
        <v>48</v>
      </c>
      <c r="AF5" s="2" t="str">
        <f t="shared" si="0"/>
        <v>Abnormal</v>
      </c>
      <c r="AG5" s="5">
        <v>1</v>
      </c>
      <c r="AH5" s="5" t="str">
        <f>IF(AG5=0,"Normal",
IF(AND(T5="Yes",S5&gt;=2),"ALD",
IF(AND(T5="Yes",S5&gt;=2,O5&gt;N5),"ALD",
IF(AND(T5="No",S5&gt;=2),"ALD",
IF(AND(G5&gt;=25,OR(T5="No",AND(T5="Yes",S5&lt;1))),"NAFLD",
IF(AND(N5&gt;O5,N5&gt;40,S5&lt;1),"NAFLD",
IF(AND(T5="Yes",S5&lt;1,G5&gt;=25,N5&gt;O5),"NAFLD",
IF(OR(P5&gt;1.2,Q5&gt;0.3),"Hyperbilirubinemia",
"Others"))))))))</f>
        <v>NAFLD</v>
      </c>
      <c r="AI5" s="5" t="str">
        <f>IF(AG5=0,"Normal",
IF(AND(T5="Yes",S5&gt;=2),"ALD (Confirmed)",
IF(AND(T5="Yes",S5&gt;=2,O5&gt;N5),"ALD (Confirmed)",
IF(AND(T5="No",S5&gt;=2),"ALD (Probable)",
IF(AND(G5&gt;=25,OR(T5="No",AND(T5="Yes",S5&lt;1))),"NAFLD",
IF(AND(N5&gt;O5,N5&gt;40,S5&lt;1),"NAFLD",
IF(AND(T5="Yes",S5&lt;1,G5&gt;=25,N5&gt;O5),"NAFLD",
IF(OR(P5&gt;1.2,Q5&gt;0.3),"Hyperbilirubinemia",
"Others"))))))))</f>
        <v>NAFLD</v>
      </c>
      <c r="AJ5" s="5">
        <v>20</v>
      </c>
      <c r="AK5" s="5" t="s">
        <v>34</v>
      </c>
    </row>
    <row r="6" spans="1:37" ht="43.2" x14ac:dyDescent="0.3">
      <c r="A6" s="5">
        <v>6</v>
      </c>
      <c r="B6" s="5" t="s">
        <v>39</v>
      </c>
      <c r="C6" s="5">
        <v>25</v>
      </c>
      <c r="D6" s="2">
        <v>6</v>
      </c>
      <c r="E6" s="5">
        <v>167</v>
      </c>
      <c r="F6" s="5">
        <v>64</v>
      </c>
      <c r="G6" s="6">
        <v>22.948115744558788</v>
      </c>
      <c r="H6" s="9" t="s">
        <v>33</v>
      </c>
      <c r="I6" s="2">
        <v>34</v>
      </c>
      <c r="J6" s="5" t="s">
        <v>44</v>
      </c>
      <c r="K6" s="5" t="s">
        <v>44</v>
      </c>
      <c r="L6" s="5" t="s">
        <v>44</v>
      </c>
      <c r="M6" s="5" t="s">
        <v>44</v>
      </c>
      <c r="N6" s="5">
        <v>38.9</v>
      </c>
      <c r="O6" s="5">
        <v>32.200000000000003</v>
      </c>
      <c r="P6" s="5">
        <v>0.35</v>
      </c>
      <c r="Q6" s="5">
        <v>7.0000000000000007E-2</v>
      </c>
      <c r="R6" s="5">
        <v>0.28000000000000003</v>
      </c>
      <c r="S6" s="8">
        <v>0.82776349614395894</v>
      </c>
      <c r="T6" s="5" t="s">
        <v>44</v>
      </c>
      <c r="U6" s="5"/>
      <c r="V6" s="5"/>
      <c r="W6" s="5"/>
      <c r="X6" s="5"/>
      <c r="Y6" s="5" t="s">
        <v>44</v>
      </c>
      <c r="Z6" s="5"/>
      <c r="AA6" s="5"/>
      <c r="AB6" s="9" t="s">
        <v>44</v>
      </c>
      <c r="AC6" s="2" t="s">
        <v>46</v>
      </c>
      <c r="AD6" s="2">
        <v>0</v>
      </c>
      <c r="AE6" s="2" t="s">
        <v>52</v>
      </c>
      <c r="AF6" s="2" t="str">
        <f t="shared" si="0"/>
        <v>Normal</v>
      </c>
      <c r="AG6" s="5">
        <v>0</v>
      </c>
      <c r="AH6" s="5" t="str">
        <f>IF(AG6=0,"Normal",
IF(AND(T6="Yes",S6&gt;=2),"ALD",
IF(AND(T6="Yes",S6&gt;=2,O6&gt;N6),"ALD",
IF(AND(T6="No",S6&gt;=2),"ALD",
IF(AND(G6&gt;=25,OR(T6="No",AND(T6="Yes",S6&lt;1))),"NAFLD",
IF(AND(N6&gt;O6,N6&gt;40,S6&lt;1),"NAFLD",
IF(AND(T6="Yes",S6&lt;1,G6&gt;=25,N6&gt;O6),"NAFLD",
IF(OR(P6&gt;1.2,Q6&gt;0.3),"Hyperbilirubinemia",
"Others"))))))))</f>
        <v>Normal</v>
      </c>
      <c r="AI6" s="5" t="str">
        <f>IF(AG6=0,"Normal",
IF(AND(T6="Yes",S6&gt;=2),"ALD (Confirmed)",
IF(AND(T6="Yes",S6&gt;=2,O6&gt;N6),"ALD (Confirmed)",
IF(AND(T6="No",S6&gt;=2),"ALD (Probable)",
IF(AND(G6&gt;=25,OR(T6="No",AND(T6="Yes",S6&lt;1))),"NAFLD",
IF(AND(N6&gt;O6,N6&gt;40,S6&lt;1),"NAFLD",
IF(AND(T6="Yes",S6&lt;1,G6&gt;=25,N6&gt;O6),"NAFLD",
IF(OR(P6&gt;1.2,Q6&gt;0.3),"Hyperbilirubinemia",
"Others"))))))))</f>
        <v>Normal</v>
      </c>
      <c r="AJ6" s="5">
        <v>6</v>
      </c>
      <c r="AK6" s="5" t="s">
        <v>34</v>
      </c>
    </row>
    <row r="7" spans="1:37" ht="43.2" x14ac:dyDescent="0.3">
      <c r="A7" s="5">
        <v>7</v>
      </c>
      <c r="B7" s="5" t="s">
        <v>39</v>
      </c>
      <c r="C7" s="5">
        <v>35</v>
      </c>
      <c r="D7" s="2">
        <v>12</v>
      </c>
      <c r="E7" s="5">
        <v>156</v>
      </c>
      <c r="F7" s="5">
        <v>72</v>
      </c>
      <c r="G7" s="6">
        <v>29.585798816568047</v>
      </c>
      <c r="H7" s="9" t="s">
        <v>42</v>
      </c>
      <c r="I7" s="2">
        <v>32</v>
      </c>
      <c r="J7" s="5" t="s">
        <v>44</v>
      </c>
      <c r="K7" s="5" t="s">
        <v>44</v>
      </c>
      <c r="L7" s="5" t="s">
        <v>44</v>
      </c>
      <c r="M7" s="5" t="s">
        <v>44</v>
      </c>
      <c r="N7" s="5">
        <v>11.9</v>
      </c>
      <c r="O7" s="5">
        <v>34.1</v>
      </c>
      <c r="P7" s="5">
        <v>0.53</v>
      </c>
      <c r="Q7" s="5">
        <v>0.12</v>
      </c>
      <c r="R7" s="5">
        <v>0.41</v>
      </c>
      <c r="S7" s="8">
        <v>2.865546218487395</v>
      </c>
      <c r="T7" s="5" t="s">
        <v>44</v>
      </c>
      <c r="U7" s="5"/>
      <c r="V7" s="5"/>
      <c r="W7" s="5"/>
      <c r="X7" s="5"/>
      <c r="Y7" s="5" t="s">
        <v>44</v>
      </c>
      <c r="Z7" s="5"/>
      <c r="AA7" s="5"/>
      <c r="AB7" s="9" t="s">
        <v>44</v>
      </c>
      <c r="AC7" s="2" t="s">
        <v>46</v>
      </c>
      <c r="AD7" s="2">
        <v>0</v>
      </c>
      <c r="AE7" s="2" t="s">
        <v>49</v>
      </c>
      <c r="AF7" s="2" t="str">
        <f t="shared" si="0"/>
        <v>Normal</v>
      </c>
      <c r="AG7" s="5">
        <v>0</v>
      </c>
      <c r="AH7" s="5" t="str">
        <f>IF(AG7=0,"Normal",
IF(AND(T7="Yes",S7&gt;=2),"ALD",
IF(AND(T7="Yes",S7&gt;=2,O7&gt;N7),"ALD",
IF(AND(T7="No",S7&gt;=2),"ALD",
IF(AND(G7&gt;=25,OR(T7="No",AND(T7="Yes",S7&lt;1))),"NAFLD",
IF(AND(N7&gt;O7,N7&gt;40,S7&lt;1),"NAFLD",
IF(AND(T7="Yes",S7&lt;1,G7&gt;=25,N7&gt;O7),"NAFLD",
IF(OR(P7&gt;1.2,Q7&gt;0.3),"Hyperbilirubinemia",
"Others"))))))))</f>
        <v>Normal</v>
      </c>
      <c r="AI7" s="5" t="str">
        <f>IF(AG7=0,"Normal",
IF(AND(T7="Yes",S7&gt;=2),"ALD (Confirmed)",
IF(AND(T7="Yes",S7&gt;=2,O7&gt;N7),"ALD (Confirmed)",
IF(AND(T7="No",S7&gt;=2),"ALD (Probable)",
IF(AND(G7&gt;=25,OR(T7="No",AND(T7="Yes",S7&lt;1))),"NAFLD",
IF(AND(N7&gt;O7,N7&gt;40,S7&lt;1),"NAFLD",
IF(AND(T7="Yes",S7&lt;1,G7&gt;=25,N7&gt;O7),"NAFLD",
IF(OR(P7&gt;1.2,Q7&gt;0.3),"Hyperbilirubinemia",
"Others"))))))))</f>
        <v>Normal</v>
      </c>
      <c r="AJ7" s="5">
        <v>17</v>
      </c>
      <c r="AK7" s="5" t="s">
        <v>34</v>
      </c>
    </row>
    <row r="8" spans="1:37" ht="28.8" x14ac:dyDescent="0.3">
      <c r="A8" s="5">
        <v>8</v>
      </c>
      <c r="B8" s="5" t="s">
        <v>39</v>
      </c>
      <c r="C8" s="5">
        <v>32</v>
      </c>
      <c r="D8" s="2">
        <v>2</v>
      </c>
      <c r="E8" s="5">
        <v>173</v>
      </c>
      <c r="F8" s="5">
        <v>72</v>
      </c>
      <c r="G8" s="6">
        <v>24.056934745564501</v>
      </c>
      <c r="H8" s="9" t="s">
        <v>33</v>
      </c>
      <c r="I8" s="2">
        <v>32</v>
      </c>
      <c r="J8" s="5" t="s">
        <v>44</v>
      </c>
      <c r="K8" s="5" t="s">
        <v>44</v>
      </c>
      <c r="L8" s="5" t="s">
        <v>44</v>
      </c>
      <c r="M8" s="5" t="s">
        <v>44</v>
      </c>
      <c r="N8" s="5">
        <v>82.2</v>
      </c>
      <c r="O8" s="5">
        <v>164</v>
      </c>
      <c r="P8" s="5">
        <v>1.77</v>
      </c>
      <c r="Q8" s="5">
        <v>0.21</v>
      </c>
      <c r="R8" s="5">
        <v>1.56</v>
      </c>
      <c r="S8" s="8">
        <v>1.9951338199513382</v>
      </c>
      <c r="T8" s="5" t="s">
        <v>44</v>
      </c>
      <c r="U8" s="5"/>
      <c r="V8" s="5"/>
      <c r="W8" s="5"/>
      <c r="X8" s="5"/>
      <c r="Y8" s="5" t="s">
        <v>44</v>
      </c>
      <c r="Z8" s="5"/>
      <c r="AA8" s="5"/>
      <c r="AB8" s="9" t="s">
        <v>44</v>
      </c>
      <c r="AC8" s="2" t="s">
        <v>47</v>
      </c>
      <c r="AD8" s="2">
        <v>0</v>
      </c>
      <c r="AE8" s="2" t="s">
        <v>52</v>
      </c>
      <c r="AF8" s="2" t="str">
        <f t="shared" si="0"/>
        <v>Abnormal</v>
      </c>
      <c r="AG8" s="5">
        <v>1</v>
      </c>
      <c r="AH8" s="5" t="str">
        <f>IF(AG8=0,"Normal",
IF(AND(T8="Yes",S8&gt;=2),"ALD",
IF(AND(T8="Yes",S8&gt;=2,O8&gt;N8),"ALD",
IF(AND(T8="No",S8&gt;=2),"ALD",
IF(AND(G8&gt;=25,OR(T8="No",AND(T8="Yes",S8&lt;1))),"NAFLD",
IF(AND(N8&gt;O8,N8&gt;40,S8&lt;1),"NAFLD",
IF(AND(T8="Yes",S8&lt;1,G8&gt;=25,N8&gt;O8),"NAFLD",
IF(OR(P8&gt;1.2,Q8&gt;0.3),"Hyperbilirubinemia",
"Others"))))))))</f>
        <v>Hyperbilirubinemia</v>
      </c>
      <c r="AI8" s="5" t="str">
        <f>IF(AG8=0,"Normal",
IF(AND(T8="Yes",S8&gt;=2),"ALD (Confirmed)",
IF(AND(T8="Yes",S8&gt;=2,O8&gt;N8),"ALD (Confirmed)",
IF(AND(T8="No",S8&gt;=2),"ALD (Probable)",
IF(AND(G8&gt;=25,OR(T8="No",AND(T8="Yes",S8&lt;1))),"NAFLD",
IF(AND(N8&gt;O8,N8&gt;40,S8&lt;1),"NAFLD",
IF(AND(T8="Yes",S8&lt;1,G8&gt;=25,N8&gt;O8),"NAFLD",
IF(OR(P8&gt;1.2,Q8&gt;0.3),"Hyperbilirubinemia",
"Others"))))))))</f>
        <v>Hyperbilirubinemia</v>
      </c>
      <c r="AJ8" s="5">
        <v>21</v>
      </c>
      <c r="AK8" s="5" t="s">
        <v>35</v>
      </c>
    </row>
    <row r="9" spans="1:37" ht="57.6" x14ac:dyDescent="0.3">
      <c r="A9" s="5">
        <v>10</v>
      </c>
      <c r="B9" s="5" t="s">
        <v>39</v>
      </c>
      <c r="C9" s="5">
        <v>30</v>
      </c>
      <c r="D9" s="2">
        <v>8</v>
      </c>
      <c r="E9" s="5">
        <v>165</v>
      </c>
      <c r="F9" s="5">
        <v>60</v>
      </c>
      <c r="G9" s="6">
        <v>22.038567493112946</v>
      </c>
      <c r="H9" s="9" t="s">
        <v>33</v>
      </c>
      <c r="I9" s="2">
        <v>30</v>
      </c>
      <c r="J9" s="5" t="s">
        <v>44</v>
      </c>
      <c r="K9" s="5" t="s">
        <v>44</v>
      </c>
      <c r="L9" s="5" t="s">
        <v>44</v>
      </c>
      <c r="M9" s="5" t="s">
        <v>44</v>
      </c>
      <c r="N9" s="5">
        <v>27.5</v>
      </c>
      <c r="O9" s="5">
        <v>28.6</v>
      </c>
      <c r="P9" s="5">
        <v>0.36</v>
      </c>
      <c r="Q9" s="5">
        <v>0.11</v>
      </c>
      <c r="R9" s="5">
        <v>0.25</v>
      </c>
      <c r="S9" s="8">
        <v>1.04</v>
      </c>
      <c r="T9" s="5" t="s">
        <v>44</v>
      </c>
      <c r="U9" s="5"/>
      <c r="V9" s="5"/>
      <c r="W9" s="5"/>
      <c r="X9" s="5"/>
      <c r="Y9" s="5" t="s">
        <v>45</v>
      </c>
      <c r="Z9" s="5" t="s">
        <v>74</v>
      </c>
      <c r="AA9" s="5" t="s">
        <v>80</v>
      </c>
      <c r="AB9" s="9" t="s">
        <v>45</v>
      </c>
      <c r="AC9" s="2" t="s">
        <v>46</v>
      </c>
      <c r="AD9" s="2">
        <v>0</v>
      </c>
      <c r="AE9" s="2" t="s">
        <v>48</v>
      </c>
      <c r="AF9" s="2" t="str">
        <f t="shared" si="0"/>
        <v>Normal</v>
      </c>
      <c r="AG9" s="5">
        <v>0</v>
      </c>
      <c r="AH9" s="5" t="str">
        <f>IF(AG9=0,"Normal",
IF(AND(T9="Yes",S9&gt;=2),"ALD",
IF(AND(T9="Yes",S9&gt;=2,O9&gt;N9),"ALD",
IF(AND(T9="No",S9&gt;=2),"ALD",
IF(AND(G9&gt;=25,OR(T9="No",AND(T9="Yes",S9&lt;1))),"NAFLD",
IF(AND(N9&gt;O9,N9&gt;40,S9&lt;1),"NAFLD",
IF(AND(T9="Yes",S9&lt;1,G9&gt;=25,N9&gt;O9),"NAFLD",
IF(OR(P9&gt;1.2,Q9&gt;0.3),"Hyperbilirubinemia",
"Others"))))))))</f>
        <v>Normal</v>
      </c>
      <c r="AI9" s="5" t="str">
        <f>IF(AG9=0,"Normal",
IF(AND(T9="Yes",S9&gt;=2),"ALD (Confirmed)",
IF(AND(T9="Yes",S9&gt;=2,O9&gt;N9),"ALD (Confirmed)",
IF(AND(T9="No",S9&gt;=2),"ALD (Probable)",
IF(AND(G9&gt;=25,OR(T9="No",AND(T9="Yes",S9&lt;1))),"NAFLD",
IF(AND(N9&gt;O9,N9&gt;40,S9&lt;1),"NAFLD",
IF(AND(T9="Yes",S9&lt;1,G9&gt;=25,N9&gt;O9),"NAFLD",
IF(OR(P9&gt;1.2,Q9&gt;0.3),"Hyperbilirubinemia",
"Others"))))))))</f>
        <v>Normal</v>
      </c>
      <c r="AJ9" s="5">
        <v>7</v>
      </c>
      <c r="AK9" s="5" t="s">
        <v>34</v>
      </c>
    </row>
    <row r="10" spans="1:37" ht="28.8" x14ac:dyDescent="0.3">
      <c r="A10" s="5">
        <v>12</v>
      </c>
      <c r="B10" s="5" t="s">
        <v>40</v>
      </c>
      <c r="C10" s="5">
        <v>21</v>
      </c>
      <c r="D10" s="2">
        <v>2</v>
      </c>
      <c r="E10" s="5">
        <v>156</v>
      </c>
      <c r="F10" s="5">
        <v>46</v>
      </c>
      <c r="G10" s="6">
        <v>18.902038132807363</v>
      </c>
      <c r="H10" s="9" t="s">
        <v>33</v>
      </c>
      <c r="I10" s="2">
        <v>36</v>
      </c>
      <c r="J10" s="5" t="s">
        <v>44</v>
      </c>
      <c r="K10" s="5" t="s">
        <v>44</v>
      </c>
      <c r="L10" s="5" t="s">
        <v>44</v>
      </c>
      <c r="M10" s="5" t="s">
        <v>44</v>
      </c>
      <c r="N10" s="5">
        <v>13.6</v>
      </c>
      <c r="O10" s="5">
        <v>23.5</v>
      </c>
      <c r="P10" s="5">
        <v>0.6</v>
      </c>
      <c r="Q10" s="5">
        <v>0.17</v>
      </c>
      <c r="R10" s="5">
        <v>0.43</v>
      </c>
      <c r="S10" s="8">
        <v>1.7279411764705883</v>
      </c>
      <c r="T10" s="5" t="s">
        <v>44</v>
      </c>
      <c r="U10" s="5"/>
      <c r="V10" s="5"/>
      <c r="W10" s="5"/>
      <c r="X10" s="5"/>
      <c r="Y10" s="5" t="s">
        <v>44</v>
      </c>
      <c r="Z10" s="5"/>
      <c r="AA10" s="5" t="s">
        <v>81</v>
      </c>
      <c r="AB10" s="9" t="s">
        <v>44</v>
      </c>
      <c r="AC10" s="2" t="s">
        <v>47</v>
      </c>
      <c r="AD10" s="2">
        <v>0</v>
      </c>
      <c r="AE10" s="2" t="s">
        <v>48</v>
      </c>
      <c r="AF10" s="2" t="str">
        <f t="shared" si="0"/>
        <v>Normal</v>
      </c>
      <c r="AG10" s="5">
        <v>0</v>
      </c>
      <c r="AH10" s="5" t="str">
        <f>IF(AG10=0,"Normal",
IF(AND(T10="Yes",S10&gt;=2),"ALD",
IF(AND(T10="Yes",S10&gt;=2,O10&gt;N10),"ALD",
IF(AND(T10="No",S10&gt;=2),"ALD",
IF(AND(G10&gt;=25,OR(T10="No",AND(T10="Yes",S10&lt;1))),"NAFLD",
IF(AND(N10&gt;O10,N10&gt;40,S10&lt;1),"NAFLD",
IF(AND(T10="Yes",S10&lt;1,G10&gt;=25,N10&gt;O10),"NAFLD",
IF(OR(P10&gt;1.2,Q10&gt;0.3),"Hyperbilirubinemia",
"Others"))))))))</f>
        <v>Normal</v>
      </c>
      <c r="AI10" s="5" t="str">
        <f>IF(AG10=0,"Normal",
IF(AND(T10="Yes",S10&gt;=2),"ALD (Confirmed)",
IF(AND(T10="Yes",S10&gt;=2,O10&gt;N10),"ALD (Confirmed)",
IF(AND(T10="No",S10&gt;=2),"ALD (Probable)",
IF(AND(G10&gt;=25,OR(T10="No",AND(T10="Yes",S10&lt;1))),"NAFLD",
IF(AND(N10&gt;O10,N10&gt;40,S10&lt;1),"NAFLD",
IF(AND(T10="Yes",S10&lt;1,G10&gt;=25,N10&gt;O10),"NAFLD",
IF(OR(P10&gt;1.2,Q10&gt;0.3),"Hyperbilirubinemia",
"Others"))))))))</f>
        <v>Normal</v>
      </c>
      <c r="AJ10" s="5">
        <v>0</v>
      </c>
      <c r="AK10" s="5" t="s">
        <v>34</v>
      </c>
    </row>
    <row r="11" spans="1:37" ht="43.2" x14ac:dyDescent="0.3">
      <c r="A11" s="5">
        <v>13</v>
      </c>
      <c r="B11" s="5" t="s">
        <v>39</v>
      </c>
      <c r="C11" s="5">
        <v>36</v>
      </c>
      <c r="D11" s="2">
        <v>14</v>
      </c>
      <c r="E11" s="5">
        <v>165</v>
      </c>
      <c r="F11" s="5">
        <v>76</v>
      </c>
      <c r="G11" s="6">
        <v>27.915518824609734</v>
      </c>
      <c r="H11" s="9" t="s">
        <v>42</v>
      </c>
      <c r="I11" s="2">
        <v>34</v>
      </c>
      <c r="J11" s="5" t="s">
        <v>44</v>
      </c>
      <c r="K11" s="5" t="s">
        <v>44</v>
      </c>
      <c r="L11" s="5" t="s">
        <v>44</v>
      </c>
      <c r="M11" s="5" t="s">
        <v>44</v>
      </c>
      <c r="N11" s="5">
        <v>50.2</v>
      </c>
      <c r="O11" s="5">
        <v>44.6</v>
      </c>
      <c r="P11" s="5">
        <v>0.76</v>
      </c>
      <c r="Q11" s="5">
        <v>0.14000000000000001</v>
      </c>
      <c r="R11" s="5">
        <v>0.62</v>
      </c>
      <c r="S11" s="8">
        <v>0.88844621513944222</v>
      </c>
      <c r="T11" s="5" t="s">
        <v>45</v>
      </c>
      <c r="U11" s="5" t="s">
        <v>56</v>
      </c>
      <c r="V11" s="5" t="s">
        <v>60</v>
      </c>
      <c r="W11" s="5" t="s">
        <v>65</v>
      </c>
      <c r="X11" s="5" t="s">
        <v>67</v>
      </c>
      <c r="Y11" s="5" t="s">
        <v>45</v>
      </c>
      <c r="Z11" s="5" t="s">
        <v>74</v>
      </c>
      <c r="AA11" s="5" t="s">
        <v>79</v>
      </c>
      <c r="AB11" s="9" t="s">
        <v>45</v>
      </c>
      <c r="AC11" s="2" t="s">
        <v>47</v>
      </c>
      <c r="AD11" s="2">
        <v>0</v>
      </c>
      <c r="AE11" s="2" t="s">
        <v>50</v>
      </c>
      <c r="AF11" s="2" t="str">
        <f t="shared" si="0"/>
        <v>Abnormal</v>
      </c>
      <c r="AG11" s="5">
        <v>1</v>
      </c>
      <c r="AH11" s="5" t="str">
        <f>IF(AG11=0,"Normal",
IF(AND(T11="Yes",S11&gt;=2),"ALD",
IF(AND(T11="Yes",S11&gt;=2,O11&gt;N11),"ALD",
IF(AND(T11="No",S11&gt;=2),"ALD",
IF(AND(G11&gt;=25,OR(T11="No",AND(T11="Yes",S11&lt;1))),"NAFLD",
IF(AND(N11&gt;O11,N11&gt;40,S11&lt;1),"NAFLD",
IF(AND(T11="Yes",S11&lt;1,G11&gt;=25,N11&gt;O11),"NAFLD",
IF(OR(P11&gt;1.2,Q11&gt;0.3),"Hyperbilirubinemia",
"Others"))))))))</f>
        <v>NAFLD</v>
      </c>
      <c r="AI11" s="5" t="str">
        <f>IF(AG11=0,"Normal",
IF(AND(T11="Yes",S11&gt;=2),"ALD (Confirmed)",
IF(AND(T11="Yes",S11&gt;=2,O11&gt;N11),"ALD (Confirmed)",
IF(AND(T11="No",S11&gt;=2),"ALD (Probable)",
IF(AND(G11&gt;=25,OR(T11="No",AND(T11="Yes",S11&lt;1))),"NAFLD",
IF(AND(N11&gt;O11,N11&gt;40,S11&lt;1),"NAFLD",
IF(AND(T11="Yes",S11&lt;1,G11&gt;=25,N11&gt;O11),"NAFLD",
IF(OR(P11&gt;1.2,Q11&gt;0.3),"Hyperbilirubinemia",
"Others"))))))))</f>
        <v>NAFLD</v>
      </c>
      <c r="AJ11" s="5">
        <v>33</v>
      </c>
      <c r="AK11" s="5" t="s">
        <v>35</v>
      </c>
    </row>
    <row r="12" spans="1:37" ht="28.8" x14ac:dyDescent="0.3">
      <c r="A12" s="5">
        <v>14</v>
      </c>
      <c r="B12" s="5" t="s">
        <v>40</v>
      </c>
      <c r="C12" s="5">
        <v>40</v>
      </c>
      <c r="D12" s="2">
        <v>15</v>
      </c>
      <c r="E12" s="5">
        <v>147</v>
      </c>
      <c r="F12" s="5">
        <v>62</v>
      </c>
      <c r="G12" s="6">
        <v>28.691748808366881</v>
      </c>
      <c r="H12" s="9" t="s">
        <v>42</v>
      </c>
      <c r="I12" s="2">
        <v>32</v>
      </c>
      <c r="J12" s="5" t="s">
        <v>44</v>
      </c>
      <c r="K12" s="5" t="s">
        <v>44</v>
      </c>
      <c r="L12" s="5" t="s">
        <v>44</v>
      </c>
      <c r="M12" s="5" t="s">
        <v>44</v>
      </c>
      <c r="N12" s="5">
        <v>23.1</v>
      </c>
      <c r="O12" s="5">
        <v>28.2</v>
      </c>
      <c r="P12" s="5">
        <v>0.36</v>
      </c>
      <c r="Q12" s="5">
        <v>0.08</v>
      </c>
      <c r="R12" s="5">
        <v>0.28000000000000003</v>
      </c>
      <c r="S12" s="8">
        <v>1.2207792207792207</v>
      </c>
      <c r="T12" s="5" t="s">
        <v>44</v>
      </c>
      <c r="U12" s="5"/>
      <c r="V12" s="5"/>
      <c r="W12" s="5"/>
      <c r="X12" s="5"/>
      <c r="Y12" s="5" t="s">
        <v>44</v>
      </c>
      <c r="Z12" s="5"/>
      <c r="AA12" s="5"/>
      <c r="AB12" s="9" t="s">
        <v>44</v>
      </c>
      <c r="AC12" s="2" t="s">
        <v>47</v>
      </c>
      <c r="AD12" s="2">
        <v>0</v>
      </c>
      <c r="AE12" s="2" t="s">
        <v>48</v>
      </c>
      <c r="AF12" s="2" t="str">
        <f t="shared" si="0"/>
        <v>Normal</v>
      </c>
      <c r="AG12" s="5">
        <v>0</v>
      </c>
      <c r="AH12" s="5" t="str">
        <f>IF(AG12=0,"Normal",
IF(AND(T12="Yes",S12&gt;=2),"ALD",
IF(AND(T12="Yes",S12&gt;=2,O12&gt;N12),"ALD",
IF(AND(T12="No",S12&gt;=2),"ALD",
IF(AND(G12&gt;=25,OR(T12="No",AND(T12="Yes",S12&lt;1))),"NAFLD",
IF(AND(N12&gt;O12,N12&gt;40,S12&lt;1),"NAFLD",
IF(AND(T12="Yes",S12&lt;1,G12&gt;=25,N12&gt;O12),"NAFLD",
IF(OR(P12&gt;1.2,Q12&gt;0.3),"Hyperbilirubinemia",
"Others"))))))))</f>
        <v>Normal</v>
      </c>
      <c r="AI12" s="5" t="str">
        <f>IF(AG12=0,"Normal",
IF(AND(T12="Yes",S12&gt;=2),"ALD (Confirmed)",
IF(AND(T12="Yes",S12&gt;=2,O12&gt;N12),"ALD (Confirmed)",
IF(AND(T12="No",S12&gt;=2),"ALD (Probable)",
IF(AND(G12&gt;=25,OR(T12="No",AND(T12="Yes",S12&lt;1))),"NAFLD",
IF(AND(N12&gt;O12,N12&gt;40,S12&lt;1),"NAFLD",
IF(AND(T12="Yes",S12&lt;1,G12&gt;=25,N12&gt;O12),"NAFLD",
IF(OR(P12&gt;1.2,Q12&gt;0.3),"Hyperbilirubinemia",
"Others"))))))))</f>
        <v>Normal</v>
      </c>
      <c r="AJ12" s="5">
        <v>12</v>
      </c>
      <c r="AK12" s="5" t="s">
        <v>34</v>
      </c>
    </row>
    <row r="13" spans="1:37" ht="43.2" x14ac:dyDescent="0.3">
      <c r="A13" s="5">
        <v>15</v>
      </c>
      <c r="B13" s="5" t="s">
        <v>39</v>
      </c>
      <c r="C13" s="5">
        <v>34</v>
      </c>
      <c r="D13" s="2">
        <v>10</v>
      </c>
      <c r="E13" s="5">
        <v>166</v>
      </c>
      <c r="F13" s="5">
        <v>74</v>
      </c>
      <c r="G13" s="6">
        <v>26.854405574103641</v>
      </c>
      <c r="H13" s="9" t="s">
        <v>42</v>
      </c>
      <c r="I13" s="2">
        <v>34</v>
      </c>
      <c r="J13" s="5" t="s">
        <v>44</v>
      </c>
      <c r="K13" s="5" t="s">
        <v>44</v>
      </c>
      <c r="L13" s="5" t="s">
        <v>44</v>
      </c>
      <c r="M13" s="5" t="s">
        <v>44</v>
      </c>
      <c r="N13" s="5">
        <v>21.9</v>
      </c>
      <c r="O13" s="5">
        <v>41.1</v>
      </c>
      <c r="P13" s="5">
        <v>0.73</v>
      </c>
      <c r="Q13" s="5">
        <v>0.1</v>
      </c>
      <c r="R13" s="5">
        <v>0.63</v>
      </c>
      <c r="S13" s="8">
        <v>1.8767123287671235</v>
      </c>
      <c r="T13" s="5" t="s">
        <v>45</v>
      </c>
      <c r="U13" s="5"/>
      <c r="V13" s="5" t="s">
        <v>61</v>
      </c>
      <c r="W13" s="5" t="s">
        <v>66</v>
      </c>
      <c r="X13" s="5" t="s">
        <v>68</v>
      </c>
      <c r="Y13" s="5" t="s">
        <v>45</v>
      </c>
      <c r="Z13" s="5" t="s">
        <v>75</v>
      </c>
      <c r="AA13" s="5" t="s">
        <v>79</v>
      </c>
      <c r="AB13" s="9" t="s">
        <v>44</v>
      </c>
      <c r="AC13" s="2" t="s">
        <v>47</v>
      </c>
      <c r="AD13" s="2">
        <v>0</v>
      </c>
      <c r="AE13" s="2" t="s">
        <v>49</v>
      </c>
      <c r="AF13" s="2" t="str">
        <f t="shared" si="0"/>
        <v>Abnormal</v>
      </c>
      <c r="AG13" s="5">
        <v>1</v>
      </c>
      <c r="AH13" s="5" t="str">
        <f>IF(AG13=0,"Normal",
IF(AND(T13="Yes",S13&gt;=2),"ALD",
IF(AND(T13="Yes",S13&gt;=2,O13&gt;N13),"ALD",
IF(AND(T13="No",S13&gt;=2),"ALD",
IF(AND(G13&gt;=25,OR(T13="No",AND(T13="Yes",S13&lt;1))),"NAFLD",
IF(AND(N13&gt;O13,N13&gt;40,S13&lt;1),"NAFLD",
IF(AND(T13="Yes",S13&lt;1,G13&gt;=25,N13&gt;O13),"NAFLD",
IF(OR(P13&gt;1.2,Q13&gt;0.3),"Hyperbilirubinemia",
"Others"))))))))</f>
        <v>Others</v>
      </c>
      <c r="AI13" s="5" t="str">
        <f>IF(AG13=0,"Normal",
IF(AND(T13="Yes",S13&gt;=2),"ALD (Confirmed)",
IF(AND(T13="Yes",S13&gt;=2,O13&gt;N13),"ALD (Confirmed)",
IF(AND(T13="No",S13&gt;=2),"ALD (Probable)",
IF(AND(G13&gt;=25,OR(T13="No",AND(T13="Yes",S13&lt;1))),"NAFLD",
IF(AND(N13&gt;O13,N13&gt;40,S13&lt;1),"NAFLD",
IF(AND(T13="Yes",S13&lt;1,G13&gt;=25,N13&gt;O13),"NAFLD",
IF(OR(P13&gt;1.2,Q13&gt;0.3),"Hyperbilirubinemia",
"Others"))))))))</f>
        <v>Others</v>
      </c>
      <c r="AJ13" s="5">
        <v>21</v>
      </c>
      <c r="AK13" s="5" t="s">
        <v>35</v>
      </c>
    </row>
    <row r="14" spans="1:37" ht="43.2" x14ac:dyDescent="0.3">
      <c r="A14" s="5">
        <v>16</v>
      </c>
      <c r="B14" s="5" t="s">
        <v>39</v>
      </c>
      <c r="C14" s="5">
        <v>22</v>
      </c>
      <c r="D14" s="2">
        <v>1</v>
      </c>
      <c r="E14" s="5">
        <v>160</v>
      </c>
      <c r="F14" s="5">
        <v>56</v>
      </c>
      <c r="G14" s="6">
        <v>21.875000000000004</v>
      </c>
      <c r="H14" s="9" t="s">
        <v>33</v>
      </c>
      <c r="I14" s="2">
        <v>30</v>
      </c>
      <c r="J14" s="5" t="s">
        <v>44</v>
      </c>
      <c r="K14" s="5" t="s">
        <v>44</v>
      </c>
      <c r="L14" s="5" t="s">
        <v>44</v>
      </c>
      <c r="M14" s="5" t="s">
        <v>44</v>
      </c>
      <c r="N14" s="5">
        <v>36.200000000000003</v>
      </c>
      <c r="O14" s="5">
        <v>35.200000000000003</v>
      </c>
      <c r="P14" s="5">
        <v>0.3</v>
      </c>
      <c r="Q14" s="5">
        <v>0.1</v>
      </c>
      <c r="R14" s="5">
        <v>0.2</v>
      </c>
      <c r="S14" s="8">
        <v>0.97237569060773477</v>
      </c>
      <c r="T14" s="5" t="s">
        <v>45</v>
      </c>
      <c r="U14" s="5" t="s">
        <v>56</v>
      </c>
      <c r="V14" s="5" t="s">
        <v>61</v>
      </c>
      <c r="W14" s="5" t="s">
        <v>65</v>
      </c>
      <c r="X14" s="5" t="s">
        <v>68</v>
      </c>
      <c r="Y14" s="5" t="s">
        <v>44</v>
      </c>
      <c r="Z14" s="5"/>
      <c r="AA14" s="5"/>
      <c r="AB14" s="9" t="s">
        <v>44</v>
      </c>
      <c r="AC14" s="2" t="s">
        <v>46</v>
      </c>
      <c r="AD14" s="2">
        <v>0</v>
      </c>
      <c r="AE14" s="2" t="s">
        <v>49</v>
      </c>
      <c r="AF14" s="2" t="str">
        <f t="shared" si="0"/>
        <v>Normal</v>
      </c>
      <c r="AG14" s="5">
        <v>0</v>
      </c>
      <c r="AH14" s="5" t="str">
        <f>IF(AG14=0,"Normal",
IF(AND(T14="Yes",S14&gt;=2),"ALD",
IF(AND(T14="Yes",S14&gt;=2,O14&gt;N14),"ALD",
IF(AND(T14="No",S14&gt;=2),"ALD",
IF(AND(G14&gt;=25,OR(T14="No",AND(T14="Yes",S14&lt;1))),"NAFLD",
IF(AND(N14&gt;O14,N14&gt;40,S14&lt;1),"NAFLD",
IF(AND(T14="Yes",S14&lt;1,G14&gt;=25,N14&gt;O14),"NAFLD",
IF(OR(P14&gt;1.2,Q14&gt;0.3),"Hyperbilirubinemia",
"Others"))))))))</f>
        <v>Normal</v>
      </c>
      <c r="AI14" s="5" t="str">
        <f>IF(AG14=0,"Normal",
IF(AND(T14="Yes",S14&gt;=2),"ALD (Confirmed)",
IF(AND(T14="Yes",S14&gt;=2,O14&gt;N14),"ALD (Confirmed)",
IF(AND(T14="No",S14&gt;=2),"ALD (Probable)",
IF(AND(G14&gt;=25,OR(T14="No",AND(T14="Yes",S14&lt;1))),"NAFLD",
IF(AND(N14&gt;O14,N14&gt;40,S14&lt;1),"NAFLD",
IF(AND(T14="Yes",S14&lt;1,G14&gt;=25,N14&gt;O14),"NAFLD",
IF(OR(P14&gt;1.2,Q14&gt;0.3),"Hyperbilirubinemia",
"Others"))))))))</f>
        <v>Normal</v>
      </c>
      <c r="AJ14" s="5">
        <v>14</v>
      </c>
      <c r="AK14" s="5" t="s">
        <v>34</v>
      </c>
    </row>
    <row r="15" spans="1:37" ht="43.2" x14ac:dyDescent="0.3">
      <c r="A15" s="5">
        <v>17</v>
      </c>
      <c r="B15" s="5" t="s">
        <v>39</v>
      </c>
      <c r="C15" s="5">
        <v>39</v>
      </c>
      <c r="D15" s="2">
        <v>16</v>
      </c>
      <c r="E15" s="5">
        <v>172</v>
      </c>
      <c r="F15" s="5">
        <v>83</v>
      </c>
      <c r="G15" s="6">
        <v>28.055705786911844</v>
      </c>
      <c r="H15" s="9" t="s">
        <v>42</v>
      </c>
      <c r="I15" s="2">
        <v>32</v>
      </c>
      <c r="J15" s="5" t="s">
        <v>44</v>
      </c>
      <c r="K15" s="5" t="s">
        <v>44</v>
      </c>
      <c r="L15" s="5" t="s">
        <v>44</v>
      </c>
      <c r="M15" s="5" t="s">
        <v>44</v>
      </c>
      <c r="N15" s="5">
        <v>25.2</v>
      </c>
      <c r="O15" s="5">
        <v>31.4</v>
      </c>
      <c r="P15" s="5">
        <v>0.34</v>
      </c>
      <c r="Q15" s="5">
        <v>0.06</v>
      </c>
      <c r="R15" s="5">
        <v>0.28000000000000003</v>
      </c>
      <c r="S15" s="8">
        <v>1.246031746031746</v>
      </c>
      <c r="T15" s="5" t="s">
        <v>44</v>
      </c>
      <c r="U15" s="5"/>
      <c r="V15" s="5"/>
      <c r="W15" s="5"/>
      <c r="X15" s="5"/>
      <c r="Y15" s="5" t="s">
        <v>44</v>
      </c>
      <c r="Z15" s="5"/>
      <c r="AA15" s="5"/>
      <c r="AB15" s="9" t="s">
        <v>44</v>
      </c>
      <c r="AC15" s="2" t="s">
        <v>46</v>
      </c>
      <c r="AD15" s="2">
        <v>0</v>
      </c>
      <c r="AE15" s="2" t="s">
        <v>48</v>
      </c>
      <c r="AF15" s="2" t="str">
        <f t="shared" si="0"/>
        <v>Normal</v>
      </c>
      <c r="AG15" s="5">
        <v>0</v>
      </c>
      <c r="AH15" s="5" t="str">
        <f>IF(AG15=0,"Normal",
IF(AND(T15="Yes",S15&gt;=2),"ALD",
IF(AND(T15="Yes",S15&gt;=2,O15&gt;N15),"ALD",
IF(AND(T15="No",S15&gt;=2),"ALD",
IF(AND(G15&gt;=25,OR(T15="No",AND(T15="Yes",S15&lt;1))),"NAFLD",
IF(AND(N15&gt;O15,N15&gt;40,S15&lt;1),"NAFLD",
IF(AND(T15="Yes",S15&lt;1,G15&gt;=25,N15&gt;O15),"NAFLD",
IF(OR(P15&gt;1.2,Q15&gt;0.3),"Hyperbilirubinemia",
"Others"))))))))</f>
        <v>Normal</v>
      </c>
      <c r="AI15" s="5" t="str">
        <f>IF(AG15=0,"Normal",
IF(AND(T15="Yes",S15&gt;=2),"ALD (Confirmed)",
IF(AND(T15="Yes",S15&gt;=2,O15&gt;N15),"ALD (Confirmed)",
IF(AND(T15="No",S15&gt;=2),"ALD (Probable)",
IF(AND(G15&gt;=25,OR(T15="No",AND(T15="Yes",S15&lt;1))),"NAFLD",
IF(AND(N15&gt;O15,N15&gt;40,S15&lt;1),"NAFLD",
IF(AND(T15="Yes",S15&lt;1,G15&gt;=25,N15&gt;O15),"NAFLD",
IF(OR(P15&gt;1.2,Q15&gt;0.3),"Hyperbilirubinemia",
"Others"))))))))</f>
        <v>Normal</v>
      </c>
      <c r="AJ15" s="5">
        <v>14</v>
      </c>
      <c r="AK15" s="5" t="s">
        <v>34</v>
      </c>
    </row>
    <row r="16" spans="1:37" ht="43.2" x14ac:dyDescent="0.3">
      <c r="A16" s="5">
        <v>18</v>
      </c>
      <c r="B16" s="5" t="s">
        <v>39</v>
      </c>
      <c r="C16" s="5">
        <v>27</v>
      </c>
      <c r="D16" s="2">
        <v>2</v>
      </c>
      <c r="E16" s="5">
        <v>168</v>
      </c>
      <c r="F16" s="5">
        <v>67</v>
      </c>
      <c r="G16" s="6">
        <v>23.738662131519277</v>
      </c>
      <c r="H16" s="9" t="s">
        <v>33</v>
      </c>
      <c r="I16" s="2">
        <v>32</v>
      </c>
      <c r="J16" s="5" t="s">
        <v>44</v>
      </c>
      <c r="K16" s="5" t="s">
        <v>44</v>
      </c>
      <c r="L16" s="5" t="s">
        <v>44</v>
      </c>
      <c r="M16" s="5" t="s">
        <v>44</v>
      </c>
      <c r="N16" s="5">
        <v>21.67</v>
      </c>
      <c r="O16" s="5">
        <v>25.79</v>
      </c>
      <c r="P16" s="5">
        <v>0.19</v>
      </c>
      <c r="Q16" s="5">
        <v>7.0000000000000007E-2</v>
      </c>
      <c r="R16" s="5">
        <v>0.12</v>
      </c>
      <c r="S16" s="8">
        <v>1.1901245962159666</v>
      </c>
      <c r="T16" s="5" t="s">
        <v>44</v>
      </c>
      <c r="U16" s="5"/>
      <c r="V16" s="5"/>
      <c r="W16" s="5"/>
      <c r="X16" s="5"/>
      <c r="Y16" s="5" t="s">
        <v>45</v>
      </c>
      <c r="Z16" s="5" t="s">
        <v>75</v>
      </c>
      <c r="AA16" s="5" t="s">
        <v>82</v>
      </c>
      <c r="AB16" s="9" t="s">
        <v>44</v>
      </c>
      <c r="AC16" s="2" t="s">
        <v>46</v>
      </c>
      <c r="AD16" s="2">
        <v>0</v>
      </c>
      <c r="AE16" s="2" t="s">
        <v>49</v>
      </c>
      <c r="AF16" s="2" t="str">
        <f t="shared" si="0"/>
        <v>Normal</v>
      </c>
      <c r="AG16" s="5">
        <v>0</v>
      </c>
      <c r="AH16" s="5" t="str">
        <f>IF(AG16=0,"Normal",
IF(AND(T16="Yes",S16&gt;=2),"ALD",
IF(AND(T16="Yes",S16&gt;=2,O16&gt;N16),"ALD",
IF(AND(T16="No",S16&gt;=2),"ALD",
IF(AND(G16&gt;=25,OR(T16="No",AND(T16="Yes",S16&lt;1))),"NAFLD",
IF(AND(N16&gt;O16,N16&gt;40,S16&lt;1),"NAFLD",
IF(AND(T16="Yes",S16&lt;1,G16&gt;=25,N16&gt;O16),"NAFLD",
IF(OR(P16&gt;1.2,Q16&gt;0.3),"Hyperbilirubinemia",
"Others"))))))))</f>
        <v>Normal</v>
      </c>
      <c r="AI16" s="5" t="str">
        <f>IF(AG16=0,"Normal",
IF(AND(T16="Yes",S16&gt;=2),"ALD (Confirmed)",
IF(AND(T16="Yes",S16&gt;=2,O16&gt;N16),"ALD (Confirmed)",
IF(AND(T16="No",S16&gt;=2),"ALD (Probable)",
IF(AND(G16&gt;=25,OR(T16="No",AND(T16="Yes",S16&lt;1))),"NAFLD",
IF(AND(N16&gt;O16,N16&gt;40,S16&lt;1),"NAFLD",
IF(AND(T16="Yes",S16&lt;1,G16&gt;=25,N16&gt;O16),"NAFLD",
IF(OR(P16&gt;1.2,Q16&gt;0.3),"Hyperbilirubinemia",
"Others"))))))))</f>
        <v>Normal</v>
      </c>
      <c r="AJ16" s="5">
        <v>8</v>
      </c>
      <c r="AK16" s="5" t="s">
        <v>34</v>
      </c>
    </row>
    <row r="17" spans="1:37" ht="43.2" x14ac:dyDescent="0.3">
      <c r="A17" s="5">
        <v>19</v>
      </c>
      <c r="B17" s="5" t="s">
        <v>39</v>
      </c>
      <c r="C17" s="5">
        <v>27</v>
      </c>
      <c r="D17" s="2">
        <v>7</v>
      </c>
      <c r="E17" s="5">
        <v>183</v>
      </c>
      <c r="F17" s="5">
        <v>82</v>
      </c>
      <c r="G17" s="6">
        <v>24.485652005136014</v>
      </c>
      <c r="H17" s="9" t="s">
        <v>33</v>
      </c>
      <c r="I17" s="2">
        <v>28</v>
      </c>
      <c r="J17" s="5" t="s">
        <v>44</v>
      </c>
      <c r="K17" s="5" t="s">
        <v>44</v>
      </c>
      <c r="L17" s="5" t="s">
        <v>44</v>
      </c>
      <c r="M17" s="5" t="s">
        <v>44</v>
      </c>
      <c r="N17" s="5">
        <v>34</v>
      </c>
      <c r="O17" s="5">
        <v>196</v>
      </c>
      <c r="P17" s="5">
        <v>0.88</v>
      </c>
      <c r="Q17" s="5">
        <v>0.2</v>
      </c>
      <c r="R17" s="5">
        <v>0.68</v>
      </c>
      <c r="S17" s="8">
        <v>5.7647058823529411</v>
      </c>
      <c r="T17" s="5" t="s">
        <v>44</v>
      </c>
      <c r="U17" s="5"/>
      <c r="V17" s="5"/>
      <c r="W17" s="5"/>
      <c r="X17" s="5"/>
      <c r="Y17" s="5" t="s">
        <v>44</v>
      </c>
      <c r="Z17" s="5"/>
      <c r="AA17" s="5"/>
      <c r="AB17" s="9" t="s">
        <v>44</v>
      </c>
      <c r="AC17" s="2" t="s">
        <v>47</v>
      </c>
      <c r="AD17" s="2">
        <v>0</v>
      </c>
      <c r="AE17" s="2" t="s">
        <v>49</v>
      </c>
      <c r="AF17" s="2" t="str">
        <f t="shared" si="0"/>
        <v>Abnormal</v>
      </c>
      <c r="AG17" s="5">
        <v>1</v>
      </c>
      <c r="AH17" s="5" t="str">
        <f>IF(AG17=0,"Normal",
IF(AND(T17="Yes",S17&gt;=2),"ALD",
IF(AND(T17="Yes",S17&gt;=2,O17&gt;N17),"ALD",
IF(AND(T17="No",S17&gt;=2),"ALD",
IF(AND(G17&gt;=25,OR(T17="No",AND(T17="Yes",S17&lt;1))),"NAFLD",
IF(AND(N17&gt;O17,N17&gt;40,S17&lt;1),"NAFLD",
IF(AND(T17="Yes",S17&lt;1,G17&gt;=25,N17&gt;O17),"NAFLD",
IF(OR(P17&gt;1.2,Q17&gt;0.3),"Hyperbilirubinemia",
"Others"))))))))</f>
        <v>ALD</v>
      </c>
      <c r="AI17" s="5" t="str">
        <f>IF(AG17=0,"Normal",
IF(AND(T17="Yes",S17&gt;=2),"ALD (Confirmed)",
IF(AND(T17="Yes",S17&gt;=2,O17&gt;N17),"ALD (Confirmed)",
IF(AND(T17="No",S17&gt;=2),"ALD (Probable)",
IF(AND(G17&gt;=25,OR(T17="No",AND(T17="Yes",S17&lt;1))),"NAFLD",
IF(AND(N17&gt;O17,N17&gt;40,S17&lt;1),"NAFLD",
IF(AND(T17="Yes",S17&lt;1,G17&gt;=25,N17&gt;O17),"NAFLD",
IF(OR(P17&gt;1.2,Q17&gt;0.3),"Hyperbilirubinemia",
"Others"))))))))</f>
        <v>ALD (Probable)</v>
      </c>
      <c r="AJ17" s="5">
        <v>13</v>
      </c>
      <c r="AK17" s="5" t="s">
        <v>34</v>
      </c>
    </row>
    <row r="18" spans="1:37" ht="43.2" x14ac:dyDescent="0.3">
      <c r="A18" s="5">
        <v>20</v>
      </c>
      <c r="B18" s="5" t="s">
        <v>40</v>
      </c>
      <c r="C18" s="5">
        <v>27</v>
      </c>
      <c r="D18" s="2">
        <v>3</v>
      </c>
      <c r="E18" s="5">
        <v>150</v>
      </c>
      <c r="F18" s="5">
        <v>48</v>
      </c>
      <c r="G18" s="6">
        <v>21.333333333333336</v>
      </c>
      <c r="H18" s="9" t="s">
        <v>33</v>
      </c>
      <c r="I18" s="2">
        <v>30</v>
      </c>
      <c r="J18" s="5" t="s">
        <v>44</v>
      </c>
      <c r="K18" s="5" t="s">
        <v>44</v>
      </c>
      <c r="L18" s="5" t="s">
        <v>44</v>
      </c>
      <c r="M18" s="5" t="s">
        <v>44</v>
      </c>
      <c r="N18" s="5">
        <v>15.32</v>
      </c>
      <c r="O18" s="5">
        <v>22.65</v>
      </c>
      <c r="P18" s="5">
        <v>0.42</v>
      </c>
      <c r="Q18" s="5">
        <v>0.09</v>
      </c>
      <c r="R18" s="5">
        <v>0.33</v>
      </c>
      <c r="S18" s="8">
        <v>1.4784595300261096</v>
      </c>
      <c r="T18" s="5" t="s">
        <v>44</v>
      </c>
      <c r="U18" s="5"/>
      <c r="V18" s="5"/>
      <c r="W18" s="5"/>
      <c r="X18" s="5"/>
      <c r="Y18" s="5" t="s">
        <v>44</v>
      </c>
      <c r="Z18" s="5"/>
      <c r="AA18" s="5"/>
      <c r="AB18" s="9" t="s">
        <v>44</v>
      </c>
      <c r="AC18" s="2" t="s">
        <v>46</v>
      </c>
      <c r="AD18" s="2">
        <v>0</v>
      </c>
      <c r="AE18" s="2" t="s">
        <v>49</v>
      </c>
      <c r="AF18" s="2" t="str">
        <f t="shared" si="0"/>
        <v>Normal</v>
      </c>
      <c r="AG18" s="5">
        <v>0</v>
      </c>
      <c r="AH18" s="5" t="str">
        <f>IF(AG18=0,"Normal",
IF(AND(T18="Yes",S18&gt;=2),"ALD",
IF(AND(T18="Yes",S18&gt;=2,O18&gt;N18),"ALD",
IF(AND(T18="No",S18&gt;=2),"ALD",
IF(AND(G18&gt;=25,OR(T18="No",AND(T18="Yes",S18&lt;1))),"NAFLD",
IF(AND(N18&gt;O18,N18&gt;40,S18&lt;1),"NAFLD",
IF(AND(T18="Yes",S18&lt;1,G18&gt;=25,N18&gt;O18),"NAFLD",
IF(OR(P18&gt;1.2,Q18&gt;0.3),"Hyperbilirubinemia",
"Others"))))))))</f>
        <v>Normal</v>
      </c>
      <c r="AI18" s="5" t="str">
        <f>IF(AG18=0,"Normal",
IF(AND(T18="Yes",S18&gt;=2),"ALD (Confirmed)",
IF(AND(T18="Yes",S18&gt;=2,O18&gt;N18),"ALD (Confirmed)",
IF(AND(T18="No",S18&gt;=2),"ALD (Probable)",
IF(AND(G18&gt;=25,OR(T18="No",AND(T18="Yes",S18&lt;1))),"NAFLD",
IF(AND(N18&gt;O18,N18&gt;40,S18&lt;1),"NAFLD",
IF(AND(T18="Yes",S18&lt;1,G18&gt;=25,N18&gt;O18),"NAFLD",
IF(OR(P18&gt;1.2,Q18&gt;0.3),"Hyperbilirubinemia",
"Others"))))))))</f>
        <v>Normal</v>
      </c>
      <c r="AJ18" s="5">
        <v>6</v>
      </c>
      <c r="AK18" s="5" t="s">
        <v>34</v>
      </c>
    </row>
    <row r="19" spans="1:37" ht="43.2" x14ac:dyDescent="0.3">
      <c r="A19" s="5">
        <v>21</v>
      </c>
      <c r="B19" s="5" t="s">
        <v>39</v>
      </c>
      <c r="C19" s="5">
        <v>23</v>
      </c>
      <c r="D19" s="2">
        <v>1</v>
      </c>
      <c r="E19" s="5">
        <v>165</v>
      </c>
      <c r="F19" s="5">
        <v>60</v>
      </c>
      <c r="G19" s="6">
        <v>22.038567493112946</v>
      </c>
      <c r="H19" s="9" t="s">
        <v>33</v>
      </c>
      <c r="I19" s="2">
        <v>32</v>
      </c>
      <c r="J19" s="5" t="s">
        <v>44</v>
      </c>
      <c r="K19" s="5" t="s">
        <v>44</v>
      </c>
      <c r="L19" s="5" t="s">
        <v>44</v>
      </c>
      <c r="M19" s="5" t="s">
        <v>44</v>
      </c>
      <c r="N19" s="5">
        <v>38.6</v>
      </c>
      <c r="O19" s="5">
        <v>48.5</v>
      </c>
      <c r="P19" s="5">
        <v>0.47</v>
      </c>
      <c r="Q19" s="5">
        <v>0.06</v>
      </c>
      <c r="R19" s="5">
        <v>0.41</v>
      </c>
      <c r="S19" s="8">
        <v>1.2564766839378239</v>
      </c>
      <c r="T19" s="5" t="s">
        <v>45</v>
      </c>
      <c r="U19" s="5" t="s">
        <v>56</v>
      </c>
      <c r="V19" s="5" t="s">
        <v>61</v>
      </c>
      <c r="W19" s="5" t="s">
        <v>65</v>
      </c>
      <c r="X19" s="5" t="s">
        <v>68</v>
      </c>
      <c r="Y19" s="5" t="s">
        <v>44</v>
      </c>
      <c r="Z19" s="5"/>
      <c r="AA19" s="5"/>
      <c r="AB19" s="9" t="s">
        <v>44</v>
      </c>
      <c r="AC19" s="2" t="s">
        <v>46</v>
      </c>
      <c r="AD19" s="2">
        <v>0</v>
      </c>
      <c r="AE19" s="2" t="s">
        <v>52</v>
      </c>
      <c r="AF19" s="2" t="str">
        <f t="shared" si="0"/>
        <v>Abnormal</v>
      </c>
      <c r="AG19" s="5">
        <v>1</v>
      </c>
      <c r="AH19" s="5" t="str">
        <f>IF(AG19=0,"Normal",
IF(AND(T19="Yes",S19&gt;=2),"ALD",
IF(AND(T19="Yes",S19&gt;=2,O19&gt;N19),"ALD",
IF(AND(T19="No",S19&gt;=2),"ALD",
IF(AND(G19&gt;=25,OR(T19="No",AND(T19="Yes",S19&lt;1))),"NAFLD",
IF(AND(N19&gt;O19,N19&gt;40,S19&lt;1),"NAFLD",
IF(AND(T19="Yes",S19&lt;1,G19&gt;=25,N19&gt;O19),"NAFLD",
IF(OR(P19&gt;1.2,Q19&gt;0.3),"Hyperbilirubinemia",
"Others"))))))))</f>
        <v>Others</v>
      </c>
      <c r="AI19" s="5" t="str">
        <f>IF(AG19=0,"Normal",
IF(AND(T19="Yes",S19&gt;=2),"ALD (Confirmed)",
IF(AND(T19="Yes",S19&gt;=2,O19&gt;N19),"ALD (Confirmed)",
IF(AND(T19="No",S19&gt;=2),"ALD (Probable)",
IF(AND(G19&gt;=25,OR(T19="No",AND(T19="Yes",S19&lt;1))),"NAFLD",
IF(AND(N19&gt;O19,N19&gt;40,S19&lt;1),"NAFLD",
IF(AND(T19="Yes",S19&lt;1,G19&gt;=25,N19&gt;O19),"NAFLD",
IF(OR(P19&gt;1.2,Q19&gt;0.3),"Hyperbilirubinemia",
"Others"))))))))</f>
        <v>Others</v>
      </c>
      <c r="AJ19" s="5">
        <v>16</v>
      </c>
      <c r="AK19" s="5" t="s">
        <v>34</v>
      </c>
    </row>
    <row r="20" spans="1:37" ht="43.2" x14ac:dyDescent="0.3">
      <c r="A20" s="5">
        <v>22</v>
      </c>
      <c r="B20" s="5" t="s">
        <v>40</v>
      </c>
      <c r="C20" s="5">
        <v>21</v>
      </c>
      <c r="D20" s="2">
        <v>1</v>
      </c>
      <c r="E20" s="5">
        <v>156</v>
      </c>
      <c r="F20" s="5">
        <v>53</v>
      </c>
      <c r="G20" s="6">
        <v>21.778435239973703</v>
      </c>
      <c r="H20" s="9" t="s">
        <v>33</v>
      </c>
      <c r="I20" s="2">
        <v>28</v>
      </c>
      <c r="J20" s="5" t="s">
        <v>44</v>
      </c>
      <c r="K20" s="5" t="s">
        <v>44</v>
      </c>
      <c r="L20" s="5" t="s">
        <v>44</v>
      </c>
      <c r="M20" s="5" t="s">
        <v>44</v>
      </c>
      <c r="N20" s="5">
        <v>12.6</v>
      </c>
      <c r="O20" s="5">
        <v>21.6</v>
      </c>
      <c r="P20" s="5">
        <v>0.22</v>
      </c>
      <c r="Q20" s="5">
        <v>0.09</v>
      </c>
      <c r="R20" s="5">
        <v>0.13</v>
      </c>
      <c r="S20" s="8">
        <v>1.7142857142857144</v>
      </c>
      <c r="T20" s="5" t="s">
        <v>44</v>
      </c>
      <c r="U20" s="5"/>
      <c r="V20" s="5"/>
      <c r="W20" s="5"/>
      <c r="X20" s="5"/>
      <c r="Y20" s="5" t="s">
        <v>44</v>
      </c>
      <c r="Z20" s="5"/>
      <c r="AA20" s="5"/>
      <c r="AB20" s="9" t="s">
        <v>44</v>
      </c>
      <c r="AC20" s="2" t="s">
        <v>46</v>
      </c>
      <c r="AD20" s="2">
        <v>0</v>
      </c>
      <c r="AE20" s="2" t="s">
        <v>50</v>
      </c>
      <c r="AF20" s="2" t="str">
        <f t="shared" si="0"/>
        <v>Normal</v>
      </c>
      <c r="AG20" s="5">
        <v>0</v>
      </c>
      <c r="AH20" s="5" t="str">
        <f>IF(AG20=0,"Normal",
IF(AND(T20="Yes",S20&gt;=2),"ALD",
IF(AND(T20="Yes",S20&gt;=2,O20&gt;N20),"ALD",
IF(AND(T20="No",S20&gt;=2),"ALD",
IF(AND(G20&gt;=25,OR(T20="No",AND(T20="Yes",S20&lt;1))),"NAFLD",
IF(AND(N20&gt;O20,N20&gt;40,S20&lt;1),"NAFLD",
IF(AND(T20="Yes",S20&lt;1,G20&gt;=25,N20&gt;O20),"NAFLD",
IF(OR(P20&gt;1.2,Q20&gt;0.3),"Hyperbilirubinemia",
"Others"))))))))</f>
        <v>Normal</v>
      </c>
      <c r="AI20" s="5" t="str">
        <f>IF(AG20=0,"Normal",
IF(AND(T20="Yes",S20&gt;=2),"ALD (Confirmed)",
IF(AND(T20="Yes",S20&gt;=2,O20&gt;N20),"ALD (Confirmed)",
IF(AND(T20="No",S20&gt;=2),"ALD (Probable)",
IF(AND(G20&gt;=25,OR(T20="No",AND(T20="Yes",S20&lt;1))),"NAFLD",
IF(AND(N20&gt;O20,N20&gt;40,S20&lt;1),"NAFLD",
IF(AND(T20="Yes",S20&lt;1,G20&gt;=25,N20&gt;O20),"NAFLD",
IF(OR(P20&gt;1.2,Q20&gt;0.3),"Hyperbilirubinemia",
"Others"))))))))</f>
        <v>Normal</v>
      </c>
      <c r="AJ20" s="5">
        <v>10</v>
      </c>
      <c r="AK20" s="5" t="s">
        <v>34</v>
      </c>
    </row>
    <row r="21" spans="1:37" ht="43.2" x14ac:dyDescent="0.3">
      <c r="A21" s="5">
        <v>23</v>
      </c>
      <c r="B21" s="5" t="s">
        <v>39</v>
      </c>
      <c r="C21" s="5">
        <v>31</v>
      </c>
      <c r="D21" s="2">
        <v>10</v>
      </c>
      <c r="E21" s="5">
        <v>180</v>
      </c>
      <c r="F21" s="5">
        <v>92</v>
      </c>
      <c r="G21" s="6">
        <v>28.39506172839506</v>
      </c>
      <c r="H21" s="9" t="s">
        <v>42</v>
      </c>
      <c r="I21" s="2">
        <v>36</v>
      </c>
      <c r="J21" s="5" t="s">
        <v>44</v>
      </c>
      <c r="K21" s="5" t="s">
        <v>44</v>
      </c>
      <c r="L21" s="5" t="s">
        <v>44</v>
      </c>
      <c r="M21" s="5" t="s">
        <v>44</v>
      </c>
      <c r="N21" s="5">
        <v>30</v>
      </c>
      <c r="O21" s="5">
        <v>216</v>
      </c>
      <c r="P21" s="5">
        <v>0.47</v>
      </c>
      <c r="Q21" s="5">
        <v>0.13</v>
      </c>
      <c r="R21" s="5">
        <v>0.34</v>
      </c>
      <c r="S21" s="8">
        <v>7.2</v>
      </c>
      <c r="T21" s="5" t="s">
        <v>44</v>
      </c>
      <c r="U21" s="5"/>
      <c r="V21" s="5"/>
      <c r="W21" s="5"/>
      <c r="X21" s="5"/>
      <c r="Y21" s="5" t="s">
        <v>44</v>
      </c>
      <c r="Z21" s="5"/>
      <c r="AA21" s="5" t="s">
        <v>81</v>
      </c>
      <c r="AB21" s="9" t="s">
        <v>44</v>
      </c>
      <c r="AC21" s="2" t="s">
        <v>46</v>
      </c>
      <c r="AD21" s="2">
        <v>0</v>
      </c>
      <c r="AE21" s="2" t="s">
        <v>48</v>
      </c>
      <c r="AF21" s="2" t="str">
        <f t="shared" si="0"/>
        <v>Abnormal</v>
      </c>
      <c r="AG21" s="5">
        <v>1</v>
      </c>
      <c r="AH21" s="5" t="str">
        <f>IF(AG21=0,"Normal",
IF(AND(T21="Yes",S21&gt;=2),"ALD",
IF(AND(T21="Yes",S21&gt;=2,O21&gt;N21),"ALD",
IF(AND(T21="No",S21&gt;=2),"ALD",
IF(AND(G21&gt;=25,OR(T21="No",AND(T21="Yes",S21&lt;1))),"NAFLD",
IF(AND(N21&gt;O21,N21&gt;40,S21&lt;1),"NAFLD",
IF(AND(T21="Yes",S21&lt;1,G21&gt;=25,N21&gt;O21),"NAFLD",
IF(OR(P21&gt;1.2,Q21&gt;0.3),"Hyperbilirubinemia",
"Others"))))))))</f>
        <v>ALD</v>
      </c>
      <c r="AI21" s="5" t="str">
        <f>IF(AG21=0,"Normal",
IF(AND(T21="Yes",S21&gt;=2),"ALD (Confirmed)",
IF(AND(T21="Yes",S21&gt;=2,O21&gt;N21),"ALD (Confirmed)",
IF(AND(T21="No",S21&gt;=2),"ALD (Probable)",
IF(AND(G21&gt;=25,OR(T21="No",AND(T21="Yes",S21&lt;1))),"NAFLD",
IF(AND(N21&gt;O21,N21&gt;40,S21&lt;1),"NAFLD",
IF(AND(T21="Yes",S21&lt;1,G21&gt;=25,N21&gt;O21),"NAFLD",
IF(OR(P21&gt;1.2,Q21&gt;0.3),"Hyperbilirubinemia",
"Others"))))))))</f>
        <v>ALD (Probable)</v>
      </c>
      <c r="AJ21" s="5">
        <v>22</v>
      </c>
      <c r="AK21" s="5" t="s">
        <v>35</v>
      </c>
    </row>
    <row r="22" spans="1:37" ht="86.4" x14ac:dyDescent="0.3">
      <c r="A22" s="5">
        <v>24</v>
      </c>
      <c r="B22" s="5" t="s">
        <v>39</v>
      </c>
      <c r="C22" s="5">
        <v>22</v>
      </c>
      <c r="D22" s="2">
        <v>3</v>
      </c>
      <c r="E22" s="5">
        <v>185</v>
      </c>
      <c r="F22" s="5">
        <v>94</v>
      </c>
      <c r="G22" s="6">
        <v>27.465303140978815</v>
      </c>
      <c r="H22" s="9" t="s">
        <v>42</v>
      </c>
      <c r="I22" s="2">
        <v>38</v>
      </c>
      <c r="J22" s="5" t="s">
        <v>44</v>
      </c>
      <c r="K22" s="5" t="s">
        <v>44</v>
      </c>
      <c r="L22" s="5" t="s">
        <v>44</v>
      </c>
      <c r="M22" s="5" t="s">
        <v>44</v>
      </c>
      <c r="N22" s="5">
        <v>52.27</v>
      </c>
      <c r="O22" s="5">
        <v>47</v>
      </c>
      <c r="P22" s="5">
        <v>0.88</v>
      </c>
      <c r="Q22" s="5">
        <v>0.12</v>
      </c>
      <c r="R22" s="5">
        <v>0.76</v>
      </c>
      <c r="S22" s="8">
        <v>0.8</v>
      </c>
      <c r="T22" s="5" t="s">
        <v>45</v>
      </c>
      <c r="U22" s="5" t="s">
        <v>57</v>
      </c>
      <c r="V22" s="5" t="s">
        <v>61</v>
      </c>
      <c r="W22" s="5" t="s">
        <v>65</v>
      </c>
      <c r="X22" s="5" t="s">
        <v>69</v>
      </c>
      <c r="Y22" s="5" t="s">
        <v>45</v>
      </c>
      <c r="Z22" s="5" t="s">
        <v>74</v>
      </c>
      <c r="AA22" s="5" t="s">
        <v>79</v>
      </c>
      <c r="AB22" s="9" t="s">
        <v>44</v>
      </c>
      <c r="AC22" s="2" t="s">
        <v>46</v>
      </c>
      <c r="AD22" s="2">
        <v>0</v>
      </c>
      <c r="AE22" s="2" t="s">
        <v>48</v>
      </c>
      <c r="AF22" s="2" t="str">
        <f t="shared" si="0"/>
        <v>Abnormal</v>
      </c>
      <c r="AG22" s="5">
        <v>1</v>
      </c>
      <c r="AH22" s="5" t="str">
        <f>IF(AG22=0,"Normal",
IF(AND(T22="Yes",S22&gt;=2),"ALD",
IF(AND(T22="Yes",S22&gt;=2,O22&gt;N22),"ALD",
IF(AND(T22="No",S22&gt;=2),"ALD",
IF(AND(G22&gt;=25,OR(T22="No",AND(T22="Yes",S22&lt;1))),"NAFLD",
IF(AND(N22&gt;O22,N22&gt;40,S22&lt;1),"NAFLD",
IF(AND(T22="Yes",S22&lt;1,G22&gt;=25,N22&gt;O22),"NAFLD",
IF(OR(P22&gt;1.2,Q22&gt;0.3),"Hyperbilirubinemia",
"Others"))))))))</f>
        <v>NAFLD</v>
      </c>
      <c r="AI22" s="5" t="str">
        <f>IF(AG22=0,"Normal",
IF(AND(T22="Yes",S22&gt;=2),"ALD (Confirmed)",
IF(AND(T22="Yes",S22&gt;=2,O22&gt;N22),"ALD (Confirmed)",
IF(AND(T22="No",S22&gt;=2),"ALD (Probable)",
IF(AND(G22&gt;=25,OR(T22="No",AND(T22="Yes",S22&lt;1))),"NAFLD",
IF(AND(N22&gt;O22,N22&gt;40,S22&lt;1),"NAFLD",
IF(AND(T22="Yes",S22&lt;1,G22&gt;=25,N22&gt;O22),"NAFLD",
IF(OR(P22&gt;1.2,Q22&gt;0.3),"Hyperbilirubinemia",
"Others"))))))))</f>
        <v>NAFLD</v>
      </c>
      <c r="AJ22" s="5">
        <v>26</v>
      </c>
      <c r="AK22" s="5" t="s">
        <v>35</v>
      </c>
    </row>
    <row r="23" spans="1:37" ht="43.2" x14ac:dyDescent="0.3">
      <c r="A23" s="5">
        <v>25</v>
      </c>
      <c r="B23" s="5" t="s">
        <v>39</v>
      </c>
      <c r="C23" s="5">
        <v>24</v>
      </c>
      <c r="D23" s="2">
        <v>5</v>
      </c>
      <c r="E23" s="5">
        <v>174</v>
      </c>
      <c r="F23" s="5">
        <v>71</v>
      </c>
      <c r="G23" s="6">
        <v>23.450918219051395</v>
      </c>
      <c r="H23" s="9" t="s">
        <v>33</v>
      </c>
      <c r="I23" s="2">
        <v>34</v>
      </c>
      <c r="J23" s="5" t="s">
        <v>44</v>
      </c>
      <c r="K23" s="5" t="s">
        <v>44</v>
      </c>
      <c r="L23" s="5" t="s">
        <v>44</v>
      </c>
      <c r="M23" s="5" t="s">
        <v>44</v>
      </c>
      <c r="N23" s="5">
        <v>36.99</v>
      </c>
      <c r="O23" s="5">
        <v>143.21</v>
      </c>
      <c r="P23" s="5">
        <v>0.35</v>
      </c>
      <c r="Q23" s="5">
        <v>0.18</v>
      </c>
      <c r="R23" s="5">
        <v>0.17</v>
      </c>
      <c r="S23" s="8">
        <v>3.8715869153825357</v>
      </c>
      <c r="T23" s="5" t="s">
        <v>45</v>
      </c>
      <c r="U23" s="5" t="s">
        <v>58</v>
      </c>
      <c r="V23" s="5" t="s">
        <v>59</v>
      </c>
      <c r="W23" s="5" t="s">
        <v>66</v>
      </c>
      <c r="X23" s="5" t="s">
        <v>68</v>
      </c>
      <c r="Y23" s="5" t="s">
        <v>45</v>
      </c>
      <c r="Z23" s="5" t="s">
        <v>74</v>
      </c>
      <c r="AA23" s="5" t="s">
        <v>79</v>
      </c>
      <c r="AB23" s="9" t="s">
        <v>44</v>
      </c>
      <c r="AC23" s="2" t="s">
        <v>47</v>
      </c>
      <c r="AD23" s="2">
        <v>1</v>
      </c>
      <c r="AE23" s="2" t="s">
        <v>50</v>
      </c>
      <c r="AF23" s="2" t="str">
        <f t="shared" si="0"/>
        <v>Abnormal</v>
      </c>
      <c r="AG23" s="5">
        <v>1</v>
      </c>
      <c r="AH23" s="5" t="str">
        <f>IF(AG23=0,"Normal",
IF(AND(T23="Yes",S23&gt;=2),"ALD",
IF(AND(T23="Yes",S23&gt;=2,O23&gt;N23),"ALD",
IF(AND(T23="No",S23&gt;=2),"ALD",
IF(AND(G23&gt;=25,OR(T23="No",AND(T23="Yes",S23&lt;1))),"NAFLD",
IF(AND(N23&gt;O23,N23&gt;40,S23&lt;1),"NAFLD",
IF(AND(T23="Yes",S23&lt;1,G23&gt;=25,N23&gt;O23),"NAFLD",
IF(OR(P23&gt;1.2,Q23&gt;0.3),"Hyperbilirubinemia",
"Others"))))))))</f>
        <v>ALD</v>
      </c>
      <c r="AI23" s="5" t="str">
        <f>IF(AG23=0,"Normal",
IF(AND(T23="Yes",S23&gt;=2),"ALD (Confirmed)",
IF(AND(T23="Yes",S23&gt;=2,O23&gt;N23),"ALD (Confirmed)",
IF(AND(T23="No",S23&gt;=2),"ALD (Probable)",
IF(AND(G23&gt;=25,OR(T23="No",AND(T23="Yes",S23&lt;1))),"NAFLD",
IF(AND(N23&gt;O23,N23&gt;40,S23&lt;1),"NAFLD",
IF(AND(T23="Yes",S23&lt;1,G23&gt;=25,N23&gt;O23),"NAFLD",
IF(OR(P23&gt;1.2,Q23&gt;0.3),"Hyperbilirubinemia",
"Others"))))))))</f>
        <v>ALD (Confirmed)</v>
      </c>
      <c r="AJ23" s="5">
        <v>40</v>
      </c>
      <c r="AK23" s="5" t="s">
        <v>35</v>
      </c>
    </row>
    <row r="24" spans="1:37" ht="28.8" x14ac:dyDescent="0.3">
      <c r="A24" s="5">
        <v>26</v>
      </c>
      <c r="B24" s="5" t="s">
        <v>39</v>
      </c>
      <c r="C24" s="5">
        <v>43</v>
      </c>
      <c r="D24" s="2">
        <v>10</v>
      </c>
      <c r="E24" s="5">
        <v>170</v>
      </c>
      <c r="F24" s="5">
        <v>67</v>
      </c>
      <c r="G24" s="6">
        <v>23.183391003460205</v>
      </c>
      <c r="H24" s="9" t="s">
        <v>33</v>
      </c>
      <c r="I24" s="2">
        <v>34</v>
      </c>
      <c r="J24" s="5" t="s">
        <v>44</v>
      </c>
      <c r="K24" s="5" t="s">
        <v>44</v>
      </c>
      <c r="L24" s="5" t="s">
        <v>44</v>
      </c>
      <c r="M24" s="5" t="s">
        <v>44</v>
      </c>
      <c r="N24" s="5">
        <v>38.6</v>
      </c>
      <c r="O24" s="5">
        <v>32.4</v>
      </c>
      <c r="P24" s="5">
        <v>1.0900000000000001</v>
      </c>
      <c r="Q24" s="5">
        <v>0.12</v>
      </c>
      <c r="R24" s="5">
        <v>0.97</v>
      </c>
      <c r="S24" s="8">
        <v>0.8393782383419689</v>
      </c>
      <c r="T24" s="5" t="s">
        <v>44</v>
      </c>
      <c r="U24" s="5"/>
      <c r="V24" s="5"/>
      <c r="W24" s="5"/>
      <c r="X24" s="5"/>
      <c r="Y24" s="5" t="s">
        <v>44</v>
      </c>
      <c r="Z24" s="5"/>
      <c r="AA24" s="5"/>
      <c r="AB24" s="9" t="s">
        <v>44</v>
      </c>
      <c r="AC24" s="2" t="s">
        <v>47</v>
      </c>
      <c r="AD24" s="2">
        <v>0</v>
      </c>
      <c r="AE24" s="2" t="s">
        <v>52</v>
      </c>
      <c r="AF24" s="2" t="str">
        <f t="shared" si="0"/>
        <v>Normal</v>
      </c>
      <c r="AG24" s="5">
        <v>0</v>
      </c>
      <c r="AH24" s="5" t="str">
        <f>IF(AG24=0,"Normal",
IF(AND(T24="Yes",S24&gt;=2),"ALD",
IF(AND(T24="Yes",S24&gt;=2,O24&gt;N24),"ALD",
IF(AND(T24="No",S24&gt;=2),"ALD",
IF(AND(G24&gt;=25,OR(T24="No",AND(T24="Yes",S24&lt;1))),"NAFLD",
IF(AND(N24&gt;O24,N24&gt;40,S24&lt;1),"NAFLD",
IF(AND(T24="Yes",S24&lt;1,G24&gt;=25,N24&gt;O24),"NAFLD",
IF(OR(P24&gt;1.2,Q24&gt;0.3),"Hyperbilirubinemia",
"Others"))))))))</f>
        <v>Normal</v>
      </c>
      <c r="AI24" s="5" t="str">
        <f>IF(AG24=0,"Normal",
IF(AND(T24="Yes",S24&gt;=2),"ALD (Confirmed)",
IF(AND(T24="Yes",S24&gt;=2,O24&gt;N24),"ALD (Confirmed)",
IF(AND(T24="No",S24&gt;=2),"ALD (Probable)",
IF(AND(G24&gt;=25,OR(T24="No",AND(T24="Yes",S24&lt;1))),"NAFLD",
IF(AND(N24&gt;O24,N24&gt;40,S24&lt;1),"NAFLD",
IF(AND(T24="Yes",S24&lt;1,G24&gt;=25,N24&gt;O24),"NAFLD",
IF(OR(P24&gt;1.2,Q24&gt;0.3),"Hyperbilirubinemia",
"Others"))))))))</f>
        <v>Normal</v>
      </c>
      <c r="AJ24" s="5">
        <v>6</v>
      </c>
      <c r="AK24" s="5" t="s">
        <v>34</v>
      </c>
    </row>
    <row r="25" spans="1:37" ht="43.2" x14ac:dyDescent="0.3">
      <c r="A25" s="5">
        <v>27</v>
      </c>
      <c r="B25" s="5" t="s">
        <v>40</v>
      </c>
      <c r="C25" s="5">
        <v>36</v>
      </c>
      <c r="D25" s="2">
        <v>12</v>
      </c>
      <c r="E25" s="5">
        <v>160</v>
      </c>
      <c r="F25" s="5">
        <v>68</v>
      </c>
      <c r="G25" s="6">
        <v>26.562500000000004</v>
      </c>
      <c r="H25" s="9" t="s">
        <v>42</v>
      </c>
      <c r="I25" s="2">
        <v>32</v>
      </c>
      <c r="J25" s="5" t="s">
        <v>44</v>
      </c>
      <c r="K25" s="5" t="s">
        <v>44</v>
      </c>
      <c r="L25" s="5" t="s">
        <v>44</v>
      </c>
      <c r="M25" s="5" t="s">
        <v>44</v>
      </c>
      <c r="N25" s="5">
        <v>14.8</v>
      </c>
      <c r="O25" s="5">
        <v>89.9</v>
      </c>
      <c r="P25" s="5">
        <v>0.27</v>
      </c>
      <c r="Q25" s="5">
        <v>0.09</v>
      </c>
      <c r="R25" s="5">
        <v>0.18</v>
      </c>
      <c r="S25" s="8">
        <v>6.0743243243243246</v>
      </c>
      <c r="T25" s="5" t="s">
        <v>44</v>
      </c>
      <c r="U25" s="5"/>
      <c r="V25" s="5"/>
      <c r="W25" s="5"/>
      <c r="X25" s="5"/>
      <c r="Y25" s="5" t="s">
        <v>44</v>
      </c>
      <c r="Z25" s="5"/>
      <c r="AA25" s="5"/>
      <c r="AB25" s="9" t="s">
        <v>44</v>
      </c>
      <c r="AC25" s="2" t="s">
        <v>47</v>
      </c>
      <c r="AD25" s="2">
        <v>0</v>
      </c>
      <c r="AE25" s="2" t="s">
        <v>49</v>
      </c>
      <c r="AF25" s="2" t="str">
        <f t="shared" si="0"/>
        <v>Abnormal</v>
      </c>
      <c r="AG25" s="5">
        <v>1</v>
      </c>
      <c r="AH25" s="5" t="str">
        <f>IF(AG25=0,"Normal",
IF(AND(T25="Yes",S25&gt;=2),"ALD",
IF(AND(T25="Yes",S25&gt;=2,O25&gt;N25),"ALD",
IF(AND(T25="No",S25&gt;=2),"ALD",
IF(AND(G25&gt;=25,OR(T25="No",AND(T25="Yes",S25&lt;1))),"NAFLD",
IF(AND(N25&gt;O25,N25&gt;40,S25&lt;1),"NAFLD",
IF(AND(T25="Yes",S25&lt;1,G25&gt;=25,N25&gt;O25),"NAFLD",
IF(OR(P25&gt;1.2,Q25&gt;0.3),"Hyperbilirubinemia",
"Others"))))))))</f>
        <v>ALD</v>
      </c>
      <c r="AI25" s="5" t="str">
        <f>IF(AG25=0,"Normal",
IF(AND(T25="Yes",S25&gt;=2),"ALD (Confirmed)",
IF(AND(T25="Yes",S25&gt;=2,O25&gt;N25),"ALD (Confirmed)",
IF(AND(T25="No",S25&gt;=2),"ALD (Probable)",
IF(AND(G25&gt;=25,OR(T25="No",AND(T25="Yes",S25&lt;1))),"NAFLD",
IF(AND(N25&gt;O25,N25&gt;40,S25&lt;1),"NAFLD",
IF(AND(T25="Yes",S25&lt;1,G25&gt;=25,N25&gt;O25),"NAFLD",
IF(OR(P25&gt;1.2,Q25&gt;0.3),"Hyperbilirubinemia",
"Others"))))))))</f>
        <v>ALD (Probable)</v>
      </c>
      <c r="AJ25" s="5">
        <v>16</v>
      </c>
      <c r="AK25" s="5" t="s">
        <v>34</v>
      </c>
    </row>
    <row r="26" spans="1:37" ht="43.2" x14ac:dyDescent="0.3">
      <c r="A26" s="5">
        <v>28</v>
      </c>
      <c r="B26" s="5" t="s">
        <v>40</v>
      </c>
      <c r="C26" s="5">
        <v>30</v>
      </c>
      <c r="D26" s="2">
        <v>12</v>
      </c>
      <c r="E26" s="5">
        <v>155</v>
      </c>
      <c r="F26" s="5">
        <v>83</v>
      </c>
      <c r="G26" s="6">
        <v>34.547346514047867</v>
      </c>
      <c r="H26" s="9" t="s">
        <v>41</v>
      </c>
      <c r="I26" s="2">
        <v>40</v>
      </c>
      <c r="J26" s="5" t="s">
        <v>44</v>
      </c>
      <c r="K26" s="5" t="s">
        <v>44</v>
      </c>
      <c r="L26" s="5" t="s">
        <v>44</v>
      </c>
      <c r="M26" s="5" t="s">
        <v>44</v>
      </c>
      <c r="N26" s="5">
        <v>21.5</v>
      </c>
      <c r="O26" s="5">
        <v>99.1</v>
      </c>
      <c r="P26" s="5">
        <v>0.15</v>
      </c>
      <c r="Q26" s="5">
        <v>7.0000000000000007E-2</v>
      </c>
      <c r="R26" s="5">
        <v>0.08</v>
      </c>
      <c r="S26" s="8">
        <v>4.6093023255813952</v>
      </c>
      <c r="T26" s="5" t="s">
        <v>45</v>
      </c>
      <c r="U26" s="5" t="s">
        <v>57</v>
      </c>
      <c r="V26" s="5" t="s">
        <v>61</v>
      </c>
      <c r="W26" s="5" t="s">
        <v>65</v>
      </c>
      <c r="X26" s="5" t="s">
        <v>68</v>
      </c>
      <c r="Y26" s="5" t="s">
        <v>45</v>
      </c>
      <c r="Z26" s="5" t="s">
        <v>75</v>
      </c>
      <c r="AA26" s="5" t="s">
        <v>78</v>
      </c>
      <c r="AB26" s="9" t="s">
        <v>44</v>
      </c>
      <c r="AC26" s="2" t="s">
        <v>46</v>
      </c>
      <c r="AD26" s="2">
        <v>0</v>
      </c>
      <c r="AE26" s="2" t="s">
        <v>50</v>
      </c>
      <c r="AF26" s="2" t="str">
        <f t="shared" si="0"/>
        <v>Abnormal</v>
      </c>
      <c r="AG26" s="5">
        <v>1</v>
      </c>
      <c r="AH26" s="5" t="str">
        <f>IF(AG26=0,"Normal",
IF(AND(T26="Yes",S26&gt;=2),"ALD",
IF(AND(T26="Yes",S26&gt;=2,O26&gt;N26),"ALD",
IF(AND(T26="No",S26&gt;=2),"ALD",
IF(AND(G26&gt;=25,OR(T26="No",AND(T26="Yes",S26&lt;1))),"NAFLD",
IF(AND(N26&gt;O26,N26&gt;40,S26&lt;1),"NAFLD",
IF(AND(T26="Yes",S26&lt;1,G26&gt;=25,N26&gt;O26),"NAFLD",
IF(OR(P26&gt;1.2,Q26&gt;0.3),"Hyperbilirubinemia",
"Others"))))))))</f>
        <v>ALD</v>
      </c>
      <c r="AI26" s="5" t="str">
        <f>IF(AG26=0,"Normal",
IF(AND(T26="Yes",S26&gt;=2),"ALD (Confirmed)",
IF(AND(T26="Yes",S26&gt;=2,O26&gt;N26),"ALD (Confirmed)",
IF(AND(T26="No",S26&gt;=2),"ALD (Probable)",
IF(AND(G26&gt;=25,OR(T26="No",AND(T26="Yes",S26&lt;1))),"NAFLD",
IF(AND(N26&gt;O26,N26&gt;40,S26&lt;1),"NAFLD",
IF(AND(T26="Yes",S26&lt;1,G26&gt;=25,N26&gt;O26),"NAFLD",
IF(OR(P26&gt;1.2,Q26&gt;0.3),"Hyperbilirubinemia",
"Others"))))))))</f>
        <v>ALD (Confirmed)</v>
      </c>
      <c r="AJ26" s="5">
        <v>42</v>
      </c>
      <c r="AK26" s="5" t="s">
        <v>38</v>
      </c>
    </row>
    <row r="27" spans="1:37" ht="28.8" x14ac:dyDescent="0.3">
      <c r="A27" s="5">
        <v>29</v>
      </c>
      <c r="B27" s="5" t="s">
        <v>39</v>
      </c>
      <c r="C27" s="5">
        <v>28</v>
      </c>
      <c r="D27" s="2">
        <v>5</v>
      </c>
      <c r="E27" s="5">
        <v>163</v>
      </c>
      <c r="F27" s="5">
        <v>61</v>
      </c>
      <c r="G27" s="6">
        <v>22.959087658549439</v>
      </c>
      <c r="H27" s="9" t="s">
        <v>33</v>
      </c>
      <c r="I27" s="2">
        <v>32</v>
      </c>
      <c r="J27" s="5" t="s">
        <v>44</v>
      </c>
      <c r="K27" s="5" t="s">
        <v>44</v>
      </c>
      <c r="L27" s="5" t="s">
        <v>44</v>
      </c>
      <c r="M27" s="5" t="s">
        <v>44</v>
      </c>
      <c r="N27" s="5">
        <v>29.4</v>
      </c>
      <c r="O27" s="5">
        <v>34.799999999999997</v>
      </c>
      <c r="P27" s="5">
        <v>0.42</v>
      </c>
      <c r="Q27" s="5">
        <v>0.1</v>
      </c>
      <c r="R27" s="5">
        <v>0.34</v>
      </c>
      <c r="S27" s="8">
        <v>1.1836734693877551</v>
      </c>
      <c r="T27" s="5" t="s">
        <v>44</v>
      </c>
      <c r="U27" s="5"/>
      <c r="V27" s="5"/>
      <c r="W27" s="5"/>
      <c r="X27" s="5"/>
      <c r="Y27" s="5" t="s">
        <v>44</v>
      </c>
      <c r="Z27" s="5"/>
      <c r="AA27" s="5"/>
      <c r="AB27" s="9" t="s">
        <v>44</v>
      </c>
      <c r="AC27" s="2" t="s">
        <v>47</v>
      </c>
      <c r="AD27" s="2">
        <v>0</v>
      </c>
      <c r="AE27" s="2" t="s">
        <v>49</v>
      </c>
      <c r="AF27" s="2" t="str">
        <f t="shared" si="0"/>
        <v>Normal</v>
      </c>
      <c r="AG27" s="5">
        <v>0</v>
      </c>
      <c r="AH27" s="5" t="str">
        <f>IF(AG27=0,"Normal",
IF(AND(T27="Yes",S27&gt;=2),"ALD",
IF(AND(T27="Yes",S27&gt;=2,O27&gt;N27),"ALD",
IF(AND(T27="No",S27&gt;=2),"ALD",
IF(AND(G27&gt;=25,OR(T27="No",AND(T27="Yes",S27&lt;1))),"NAFLD",
IF(AND(N27&gt;O27,N27&gt;40,S27&lt;1),"NAFLD",
IF(AND(T27="Yes",S27&lt;1,G27&gt;=25,N27&gt;O27),"NAFLD",
IF(OR(P27&gt;1.2,Q27&gt;0.3),"Hyperbilirubinemia",
"Others"))))))))</f>
        <v>Normal</v>
      </c>
      <c r="AI27" s="5" t="str">
        <f>IF(AG27=0,"Normal",
IF(AND(T27="Yes",S27&gt;=2),"ALD (Confirmed)",
IF(AND(T27="Yes",S27&gt;=2,O27&gt;N27),"ALD (Confirmed)",
IF(AND(T27="No",S27&gt;=2),"ALD (Probable)",
IF(AND(G27&gt;=25,OR(T27="No",AND(T27="Yes",S27&lt;1))),"NAFLD",
IF(AND(N27&gt;O27,N27&gt;40,S27&lt;1),"NAFLD",
IF(AND(T27="Yes",S27&lt;1,G27&gt;=25,N27&gt;O27),"NAFLD",
IF(OR(P27&gt;1.2,Q27&gt;0.3),"Hyperbilirubinemia",
"Others"))))))))</f>
        <v>Normal</v>
      </c>
      <c r="AJ27" s="5">
        <v>4</v>
      </c>
      <c r="AK27" s="5" t="s">
        <v>34</v>
      </c>
    </row>
    <row r="28" spans="1:37" ht="43.2" x14ac:dyDescent="0.3">
      <c r="A28" s="5">
        <v>30</v>
      </c>
      <c r="B28" s="5" t="s">
        <v>39</v>
      </c>
      <c r="C28" s="5">
        <v>36</v>
      </c>
      <c r="D28" s="2">
        <v>13</v>
      </c>
      <c r="E28" s="5">
        <v>172</v>
      </c>
      <c r="F28" s="5">
        <v>63</v>
      </c>
      <c r="G28" s="6">
        <v>21.295294753921038</v>
      </c>
      <c r="H28" s="9" t="s">
        <v>33</v>
      </c>
      <c r="I28" s="2">
        <v>32</v>
      </c>
      <c r="J28" s="5" t="s">
        <v>44</v>
      </c>
      <c r="K28" s="5" t="s">
        <v>44</v>
      </c>
      <c r="L28" s="5" t="s">
        <v>44</v>
      </c>
      <c r="M28" s="5" t="s">
        <v>44</v>
      </c>
      <c r="N28" s="5">
        <v>17.850000000000001</v>
      </c>
      <c r="O28" s="5">
        <v>27.69</v>
      </c>
      <c r="P28" s="5">
        <v>0.28000000000000003</v>
      </c>
      <c r="Q28" s="5">
        <v>7.0000000000000007E-2</v>
      </c>
      <c r="R28" s="5">
        <v>0.21</v>
      </c>
      <c r="S28" s="8">
        <v>1.5512605042016807</v>
      </c>
      <c r="T28" s="5" t="s">
        <v>44</v>
      </c>
      <c r="U28" s="5"/>
      <c r="V28" s="5"/>
      <c r="W28" s="5"/>
      <c r="X28" s="5"/>
      <c r="Y28" s="5" t="s">
        <v>44</v>
      </c>
      <c r="Z28" s="5"/>
      <c r="AA28" s="5"/>
      <c r="AB28" s="9" t="s">
        <v>44</v>
      </c>
      <c r="AC28" s="2" t="s">
        <v>46</v>
      </c>
      <c r="AD28" s="2">
        <v>0</v>
      </c>
      <c r="AE28" s="2" t="s">
        <v>48</v>
      </c>
      <c r="AF28" s="2" t="str">
        <f t="shared" si="0"/>
        <v>Normal</v>
      </c>
      <c r="AG28" s="5">
        <v>0</v>
      </c>
      <c r="AH28" s="5" t="str">
        <f>IF(AG28=0,"Normal",
IF(AND(T28="Yes",S28&gt;=2),"ALD",
IF(AND(T28="Yes",S28&gt;=2,O28&gt;N28),"ALD",
IF(AND(T28="No",S28&gt;=2),"ALD",
IF(AND(G28&gt;=25,OR(T28="No",AND(T28="Yes",S28&lt;1))),"NAFLD",
IF(AND(N28&gt;O28,N28&gt;40,S28&lt;1),"NAFLD",
IF(AND(T28="Yes",S28&lt;1,G28&gt;=25,N28&gt;O28),"NAFLD",
IF(OR(P28&gt;1.2,Q28&gt;0.3),"Hyperbilirubinemia",
"Others"))))))))</f>
        <v>Normal</v>
      </c>
      <c r="AI28" s="5" t="str">
        <f>IF(AG28=0,"Normal",
IF(AND(T28="Yes",S28&gt;=2),"ALD (Confirmed)",
IF(AND(T28="Yes",S28&gt;=2,O28&gt;N28),"ALD (Confirmed)",
IF(AND(T28="No",S28&gt;=2),"ALD (Probable)",
IF(AND(G28&gt;=25,OR(T28="No",AND(T28="Yes",S28&lt;1))),"NAFLD",
IF(AND(N28&gt;O28,N28&gt;40,S28&lt;1),"NAFLD",
IF(AND(T28="Yes",S28&lt;1,G28&gt;=25,N28&gt;O28),"NAFLD",
IF(OR(P28&gt;1.2,Q28&gt;0.3),"Hyperbilirubinemia",
"Others"))))))))</f>
        <v>Normal</v>
      </c>
      <c r="AJ28" s="5">
        <v>4</v>
      </c>
      <c r="AK28" s="5" t="s">
        <v>34</v>
      </c>
    </row>
    <row r="29" spans="1:37" ht="43.2" x14ac:dyDescent="0.3">
      <c r="A29" s="5">
        <v>31</v>
      </c>
      <c r="B29" s="5" t="s">
        <v>39</v>
      </c>
      <c r="C29" s="5">
        <v>33</v>
      </c>
      <c r="D29" s="2">
        <v>8</v>
      </c>
      <c r="E29" s="5">
        <v>166</v>
      </c>
      <c r="F29" s="5">
        <v>66</v>
      </c>
      <c r="G29" s="6">
        <v>23.951226593119465</v>
      </c>
      <c r="H29" s="9" t="s">
        <v>33</v>
      </c>
      <c r="I29" s="2">
        <v>34</v>
      </c>
      <c r="J29" s="5" t="s">
        <v>44</v>
      </c>
      <c r="K29" s="5" t="s">
        <v>44</v>
      </c>
      <c r="L29" s="5" t="s">
        <v>44</v>
      </c>
      <c r="M29" s="5" t="s">
        <v>44</v>
      </c>
      <c r="N29" s="5">
        <v>79.75</v>
      </c>
      <c r="O29" s="5">
        <v>187.8</v>
      </c>
      <c r="P29" s="5">
        <v>1.19</v>
      </c>
      <c r="Q29" s="5">
        <v>0.08</v>
      </c>
      <c r="R29" s="5">
        <v>1.1100000000000001</v>
      </c>
      <c r="S29" s="8">
        <v>2.3548589341692789</v>
      </c>
      <c r="T29" s="5" t="s">
        <v>44</v>
      </c>
      <c r="U29" s="5"/>
      <c r="V29" s="5"/>
      <c r="W29" s="5"/>
      <c r="X29" s="5"/>
      <c r="Y29" s="5" t="s">
        <v>44</v>
      </c>
      <c r="Z29" s="5"/>
      <c r="AA29" s="5"/>
      <c r="AB29" s="9" t="s">
        <v>44</v>
      </c>
      <c r="AC29" s="2" t="s">
        <v>47</v>
      </c>
      <c r="AD29" s="2">
        <v>0</v>
      </c>
      <c r="AE29" s="2" t="s">
        <v>52</v>
      </c>
      <c r="AF29" s="2" t="str">
        <f t="shared" si="0"/>
        <v>Abnormal</v>
      </c>
      <c r="AG29" s="5">
        <v>1</v>
      </c>
      <c r="AH29" s="5" t="str">
        <f>IF(AG29=0,"Normal",
IF(AND(T29="Yes",S29&gt;=2),"ALD",
IF(AND(T29="Yes",S29&gt;=2,O29&gt;N29),"ALD",
IF(AND(T29="No",S29&gt;=2),"ALD",
IF(AND(G29&gt;=25,OR(T29="No",AND(T29="Yes",S29&lt;1))),"NAFLD",
IF(AND(N29&gt;O29,N29&gt;40,S29&lt;1),"NAFLD",
IF(AND(T29="Yes",S29&lt;1,G29&gt;=25,N29&gt;O29),"NAFLD",
IF(OR(P29&gt;1.2,Q29&gt;0.3),"Hyperbilirubinemia",
"Others"))))))))</f>
        <v>ALD</v>
      </c>
      <c r="AI29" s="5" t="str">
        <f>IF(AG29=0,"Normal",
IF(AND(T29="Yes",S29&gt;=2),"ALD (Confirmed)",
IF(AND(T29="Yes",S29&gt;=2,O29&gt;N29),"ALD (Confirmed)",
IF(AND(T29="No",S29&gt;=2),"ALD (Probable)",
IF(AND(G29&gt;=25,OR(T29="No",AND(T29="Yes",S29&lt;1))),"NAFLD",
IF(AND(N29&gt;O29,N29&gt;40,S29&lt;1),"NAFLD",
IF(AND(T29="Yes",S29&lt;1,G29&gt;=25,N29&gt;O29),"NAFLD",
IF(OR(P29&gt;1.2,Q29&gt;0.3),"Hyperbilirubinemia",
"Others"))))))))</f>
        <v>ALD (Probable)</v>
      </c>
      <c r="AJ29" s="5">
        <v>20</v>
      </c>
      <c r="AK29" s="5" t="s">
        <v>34</v>
      </c>
    </row>
    <row r="30" spans="1:37" ht="28.8" x14ac:dyDescent="0.3">
      <c r="A30" s="5">
        <v>32</v>
      </c>
      <c r="B30" s="5" t="s">
        <v>39</v>
      </c>
      <c r="C30" s="5">
        <v>49</v>
      </c>
      <c r="D30" s="2">
        <v>4</v>
      </c>
      <c r="E30" s="5">
        <v>168</v>
      </c>
      <c r="F30" s="5">
        <v>93</v>
      </c>
      <c r="G30" s="6">
        <v>32.950680272108848</v>
      </c>
      <c r="H30" s="9" t="s">
        <v>41</v>
      </c>
      <c r="I30" s="2">
        <v>38</v>
      </c>
      <c r="J30" s="5" t="s">
        <v>45</v>
      </c>
      <c r="K30" s="5" t="s">
        <v>44</v>
      </c>
      <c r="L30" s="5" t="s">
        <v>44</v>
      </c>
      <c r="M30" s="5" t="s">
        <v>44</v>
      </c>
      <c r="N30" s="5">
        <v>28.27</v>
      </c>
      <c r="O30" s="5">
        <v>29.49</v>
      </c>
      <c r="P30" s="5">
        <v>0.34</v>
      </c>
      <c r="Q30" s="5">
        <v>0.06</v>
      </c>
      <c r="R30" s="5">
        <v>0.28000000000000003</v>
      </c>
      <c r="S30" s="8">
        <v>1.043155288291475</v>
      </c>
      <c r="T30" s="5" t="s">
        <v>44</v>
      </c>
      <c r="U30" s="5"/>
      <c r="V30" s="5"/>
      <c r="W30" s="5"/>
      <c r="X30" s="5"/>
      <c r="Y30" s="5" t="s">
        <v>44</v>
      </c>
      <c r="Z30" s="5"/>
      <c r="AA30" s="5"/>
      <c r="AB30" s="9" t="s">
        <v>44</v>
      </c>
      <c r="AC30" s="2" t="s">
        <v>47</v>
      </c>
      <c r="AD30" s="2">
        <v>0</v>
      </c>
      <c r="AE30" s="2" t="s">
        <v>49</v>
      </c>
      <c r="AF30" s="2" t="str">
        <f t="shared" si="0"/>
        <v>Normal</v>
      </c>
      <c r="AG30" s="5">
        <v>0</v>
      </c>
      <c r="AH30" s="5" t="str">
        <f>IF(AG30=0,"Normal",
IF(AND(T30="Yes",S30&gt;=2),"ALD",
IF(AND(T30="Yes",S30&gt;=2,O30&gt;N30),"ALD",
IF(AND(T30="No",S30&gt;=2),"ALD",
IF(AND(G30&gt;=25,OR(T30="No",AND(T30="Yes",S30&lt;1))),"NAFLD",
IF(AND(N30&gt;O30,N30&gt;40,S30&lt;1),"NAFLD",
IF(AND(T30="Yes",S30&lt;1,G30&gt;=25,N30&gt;O30),"NAFLD",
IF(OR(P30&gt;1.2,Q30&gt;0.3),"Hyperbilirubinemia",
"Others"))))))))</f>
        <v>Normal</v>
      </c>
      <c r="AI30" s="5" t="str">
        <f>IF(AG30=0,"Normal",
IF(AND(T30="Yes",S30&gt;=2),"ALD (Confirmed)",
IF(AND(T30="Yes",S30&gt;=2,O30&gt;N30),"ALD (Confirmed)",
IF(AND(T30="No",S30&gt;=2),"ALD (Probable)",
IF(AND(G30&gt;=25,OR(T30="No",AND(T30="Yes",S30&lt;1))),"NAFLD",
IF(AND(N30&gt;O30,N30&gt;40,S30&lt;1),"NAFLD",
IF(AND(T30="Yes",S30&lt;1,G30&gt;=25,N30&gt;O30),"NAFLD",
IF(OR(P30&gt;1.2,Q30&gt;0.3),"Hyperbilirubinemia",
"Others"))))))))</f>
        <v>Normal</v>
      </c>
      <c r="AJ30" s="5">
        <v>25</v>
      </c>
      <c r="AK30" s="5" t="s">
        <v>35</v>
      </c>
    </row>
    <row r="31" spans="1:37" ht="43.2" x14ac:dyDescent="0.3">
      <c r="A31" s="5">
        <v>33</v>
      </c>
      <c r="B31" s="5" t="s">
        <v>39</v>
      </c>
      <c r="C31" s="5">
        <v>42</v>
      </c>
      <c r="D31" s="2">
        <v>23</v>
      </c>
      <c r="E31" s="5">
        <v>168</v>
      </c>
      <c r="F31" s="5">
        <v>69</v>
      </c>
      <c r="G31" s="6">
        <v>24.447278911564627</v>
      </c>
      <c r="H31" s="9" t="s">
        <v>33</v>
      </c>
      <c r="I31" s="2">
        <v>34</v>
      </c>
      <c r="J31" s="5" t="s">
        <v>44</v>
      </c>
      <c r="K31" s="5" t="s">
        <v>44</v>
      </c>
      <c r="L31" s="5" t="s">
        <v>44</v>
      </c>
      <c r="M31" s="5" t="s">
        <v>44</v>
      </c>
      <c r="N31" s="5">
        <v>16.440000000000001</v>
      </c>
      <c r="O31" s="5">
        <v>25.99</v>
      </c>
      <c r="P31" s="5">
        <v>0.52</v>
      </c>
      <c r="Q31" s="5">
        <v>0.08</v>
      </c>
      <c r="R31" s="5">
        <v>0.44</v>
      </c>
      <c r="S31" s="8">
        <v>1.5809002433090023</v>
      </c>
      <c r="T31" s="5" t="s">
        <v>44</v>
      </c>
      <c r="U31" s="5"/>
      <c r="V31" s="5"/>
      <c r="W31" s="5"/>
      <c r="X31" s="5"/>
      <c r="Y31" s="5" t="s">
        <v>44</v>
      </c>
      <c r="Z31" s="5"/>
      <c r="AA31" s="5"/>
      <c r="AB31" s="9" t="s">
        <v>44</v>
      </c>
      <c r="AC31" s="2" t="s">
        <v>46</v>
      </c>
      <c r="AD31" s="2">
        <v>0</v>
      </c>
      <c r="AE31" s="2" t="s">
        <v>49</v>
      </c>
      <c r="AF31" s="2" t="str">
        <f t="shared" si="0"/>
        <v>Normal</v>
      </c>
      <c r="AG31" s="5">
        <v>0</v>
      </c>
      <c r="AH31" s="5" t="str">
        <f>IF(AG31=0,"Normal",
IF(AND(T31="Yes",S31&gt;=2),"ALD",
IF(AND(T31="Yes",S31&gt;=2,O31&gt;N31),"ALD",
IF(AND(T31="No",S31&gt;=2),"ALD",
IF(AND(G31&gt;=25,OR(T31="No",AND(T31="Yes",S31&lt;1))),"NAFLD",
IF(AND(N31&gt;O31,N31&gt;40,S31&lt;1),"NAFLD",
IF(AND(T31="Yes",S31&lt;1,G31&gt;=25,N31&gt;O31),"NAFLD",
IF(OR(P31&gt;1.2,Q31&gt;0.3),"Hyperbilirubinemia",
"Others"))))))))</f>
        <v>Normal</v>
      </c>
      <c r="AI31" s="5" t="str">
        <f>IF(AG31=0,"Normal",
IF(AND(T31="Yes",S31&gt;=2),"ALD (Confirmed)",
IF(AND(T31="Yes",S31&gt;=2,O31&gt;N31),"ALD (Confirmed)",
IF(AND(T31="No",S31&gt;=2),"ALD (Probable)",
IF(AND(G31&gt;=25,OR(T31="No",AND(T31="Yes",S31&lt;1))),"NAFLD",
IF(AND(N31&gt;O31,N31&gt;40,S31&lt;1),"NAFLD",
IF(AND(T31="Yes",S31&lt;1,G31&gt;=25,N31&gt;O31),"NAFLD",
IF(OR(P31&gt;1.2,Q31&gt;0.3),"Hyperbilirubinemia",
"Others"))))))))</f>
        <v>Normal</v>
      </c>
      <c r="AJ31" s="5">
        <v>7</v>
      </c>
      <c r="AK31" s="5" t="s">
        <v>34</v>
      </c>
    </row>
    <row r="32" spans="1:37" ht="43.2" x14ac:dyDescent="0.3">
      <c r="A32" s="5">
        <v>34</v>
      </c>
      <c r="B32" s="5" t="s">
        <v>39</v>
      </c>
      <c r="C32" s="5">
        <v>32</v>
      </c>
      <c r="D32" s="2">
        <v>5</v>
      </c>
      <c r="E32" s="5">
        <v>183</v>
      </c>
      <c r="F32" s="5">
        <v>125</v>
      </c>
      <c r="G32" s="6">
        <v>37.325689032219536</v>
      </c>
      <c r="H32" s="9" t="s">
        <v>41</v>
      </c>
      <c r="I32" s="2">
        <v>44</v>
      </c>
      <c r="J32" s="5" t="s">
        <v>45</v>
      </c>
      <c r="K32" s="5" t="s">
        <v>44</v>
      </c>
      <c r="L32" s="5" t="s">
        <v>44</v>
      </c>
      <c r="M32" s="5" t="s">
        <v>44</v>
      </c>
      <c r="N32" s="5">
        <v>45.2</v>
      </c>
      <c r="O32" s="5">
        <v>94.33</v>
      </c>
      <c r="P32" s="5">
        <v>0.67</v>
      </c>
      <c r="Q32" s="5">
        <v>0.08</v>
      </c>
      <c r="R32" s="5">
        <v>0.59</v>
      </c>
      <c r="S32" s="8">
        <v>2.086946902654867</v>
      </c>
      <c r="T32" s="5" t="s">
        <v>44</v>
      </c>
      <c r="U32" s="5"/>
      <c r="V32" s="5"/>
      <c r="W32" s="5"/>
      <c r="X32" s="5"/>
      <c r="Y32" s="5" t="s">
        <v>44</v>
      </c>
      <c r="Z32" s="5"/>
      <c r="AA32" s="5"/>
      <c r="AB32" s="9" t="s">
        <v>44</v>
      </c>
      <c r="AC32" s="2" t="s">
        <v>47</v>
      </c>
      <c r="AD32" s="2">
        <v>0</v>
      </c>
      <c r="AE32" s="2" t="s">
        <v>50</v>
      </c>
      <c r="AF32" s="2" t="str">
        <f t="shared" si="0"/>
        <v>Abnormal</v>
      </c>
      <c r="AG32" s="5">
        <v>1</v>
      </c>
      <c r="AH32" s="5" t="str">
        <f>IF(AG32=0,"Normal",
IF(AND(T32="Yes",S32&gt;=2),"ALD",
IF(AND(T32="Yes",S32&gt;=2,O32&gt;N32),"ALD",
IF(AND(T32="No",S32&gt;=2),"ALD",
IF(AND(G32&gt;=25,OR(T32="No",AND(T32="Yes",S32&lt;1))),"NAFLD",
IF(AND(N32&gt;O32,N32&gt;40,S32&lt;1),"NAFLD",
IF(AND(T32="Yes",S32&lt;1,G32&gt;=25,N32&gt;O32),"NAFLD",
IF(OR(P32&gt;1.2,Q32&gt;0.3),"Hyperbilirubinemia",
"Others"))))))))</f>
        <v>ALD</v>
      </c>
      <c r="AI32" s="5" t="str">
        <f>IF(AG32=0,"Normal",
IF(AND(T32="Yes",S32&gt;=2),"ALD (Confirmed)",
IF(AND(T32="Yes",S32&gt;=2,O32&gt;N32),"ALD (Confirmed)",
IF(AND(T32="No",S32&gt;=2),"ALD (Probable)",
IF(AND(G32&gt;=25,OR(T32="No",AND(T32="Yes",S32&lt;1))),"NAFLD",
IF(AND(N32&gt;O32,N32&gt;40,S32&lt;1),"NAFLD",
IF(AND(T32="Yes",S32&lt;1,G32&gt;=25,N32&gt;O32),"NAFLD",
IF(OR(P32&gt;1.2,Q32&gt;0.3),"Hyperbilirubinemia",
"Others"))))))))</f>
        <v>ALD (Probable)</v>
      </c>
      <c r="AJ32" s="5">
        <v>36</v>
      </c>
      <c r="AK32" s="5" t="s">
        <v>35</v>
      </c>
    </row>
    <row r="33" spans="1:37" ht="43.2" x14ac:dyDescent="0.3">
      <c r="A33" s="5">
        <v>35</v>
      </c>
      <c r="B33" s="5" t="s">
        <v>39</v>
      </c>
      <c r="C33" s="5">
        <v>41</v>
      </c>
      <c r="D33" s="2">
        <v>1</v>
      </c>
      <c r="E33" s="5">
        <v>170</v>
      </c>
      <c r="F33" s="5">
        <v>77</v>
      </c>
      <c r="G33" s="6">
        <v>26.643598615916954</v>
      </c>
      <c r="H33" s="9" t="s">
        <v>42</v>
      </c>
      <c r="I33" s="2">
        <v>38</v>
      </c>
      <c r="J33" s="5" t="s">
        <v>44</v>
      </c>
      <c r="K33" s="5" t="s">
        <v>44</v>
      </c>
      <c r="L33" s="5" t="s">
        <v>44</v>
      </c>
      <c r="M33" s="5" t="s">
        <v>44</v>
      </c>
      <c r="N33" s="5">
        <v>37.9</v>
      </c>
      <c r="O33" s="5">
        <v>177</v>
      </c>
      <c r="P33" s="5">
        <v>0.93</v>
      </c>
      <c r="Q33" s="5">
        <v>0.17</v>
      </c>
      <c r="R33" s="5">
        <v>0.76</v>
      </c>
      <c r="S33" s="8">
        <v>4.6701846965699207</v>
      </c>
      <c r="T33" s="5" t="s">
        <v>44</v>
      </c>
      <c r="U33" s="5"/>
      <c r="V33" s="5"/>
      <c r="W33" s="5"/>
      <c r="X33" s="5"/>
      <c r="Y33" s="5" t="s">
        <v>44</v>
      </c>
      <c r="Z33" s="5"/>
      <c r="AA33" s="5"/>
      <c r="AB33" s="9" t="s">
        <v>44</v>
      </c>
      <c r="AC33" s="2" t="s">
        <v>46</v>
      </c>
      <c r="AD33" s="2">
        <v>0</v>
      </c>
      <c r="AE33" s="2" t="s">
        <v>49</v>
      </c>
      <c r="AF33" s="2" t="str">
        <f t="shared" si="0"/>
        <v>Abnormal</v>
      </c>
      <c r="AG33" s="5">
        <v>1</v>
      </c>
      <c r="AH33" s="5" t="str">
        <f>IF(AG33=0,"Normal",
IF(AND(T33="Yes",S33&gt;=2),"ALD",
IF(AND(T33="Yes",S33&gt;=2,O33&gt;N33),"ALD",
IF(AND(T33="No",S33&gt;=2),"ALD",
IF(AND(G33&gt;=25,OR(T33="No",AND(T33="Yes",S33&lt;1))),"NAFLD",
IF(AND(N33&gt;O33,N33&gt;40,S33&lt;1),"NAFLD",
IF(AND(T33="Yes",S33&lt;1,G33&gt;=25,N33&gt;O33),"NAFLD",
IF(OR(P33&gt;1.2,Q33&gt;0.3),"Hyperbilirubinemia",
"Others"))))))))</f>
        <v>ALD</v>
      </c>
      <c r="AI33" s="5" t="str">
        <f>IF(AG33=0,"Normal",
IF(AND(T33="Yes",S33&gt;=2),"ALD (Confirmed)",
IF(AND(T33="Yes",S33&gt;=2,O33&gt;N33),"ALD (Confirmed)",
IF(AND(T33="No",S33&gt;=2),"ALD (Probable)",
IF(AND(G33&gt;=25,OR(T33="No",AND(T33="Yes",S33&lt;1))),"NAFLD",
IF(AND(N33&gt;O33,N33&gt;40,S33&lt;1),"NAFLD",
IF(AND(T33="Yes",S33&lt;1,G33&gt;=25,N33&gt;O33),"NAFLD",
IF(OR(P33&gt;1.2,Q33&gt;0.3),"Hyperbilirubinemia",
"Others"))))))))</f>
        <v>ALD (Probable)</v>
      </c>
      <c r="AJ33" s="5">
        <v>21</v>
      </c>
      <c r="AK33" s="5" t="s">
        <v>35</v>
      </c>
    </row>
    <row r="34" spans="1:37" ht="28.8" x14ac:dyDescent="0.3">
      <c r="A34" s="5">
        <v>36</v>
      </c>
      <c r="B34" s="5" t="s">
        <v>39</v>
      </c>
      <c r="C34" s="5">
        <v>25</v>
      </c>
      <c r="D34" s="2">
        <v>3</v>
      </c>
      <c r="E34" s="5">
        <v>180</v>
      </c>
      <c r="F34" s="5">
        <v>78</v>
      </c>
      <c r="G34" s="6">
        <v>24.074074074074076</v>
      </c>
      <c r="H34" s="9" t="s">
        <v>33</v>
      </c>
      <c r="I34" s="2">
        <v>34</v>
      </c>
      <c r="J34" s="5" t="s">
        <v>44</v>
      </c>
      <c r="K34" s="5" t="s">
        <v>44</v>
      </c>
      <c r="L34" s="5" t="s">
        <v>44</v>
      </c>
      <c r="M34" s="5" t="s">
        <v>44</v>
      </c>
      <c r="N34" s="5">
        <v>39.799999999999997</v>
      </c>
      <c r="O34" s="5">
        <v>32.4</v>
      </c>
      <c r="P34" s="5">
        <v>1.18</v>
      </c>
      <c r="Q34" s="5">
        <v>0.19</v>
      </c>
      <c r="R34" s="5">
        <v>0.99</v>
      </c>
      <c r="S34" s="8">
        <v>0.81407035175879394</v>
      </c>
      <c r="T34" s="5" t="s">
        <v>44</v>
      </c>
      <c r="U34" s="5"/>
      <c r="V34" s="5"/>
      <c r="W34" s="5"/>
      <c r="X34" s="5"/>
      <c r="Y34" s="5" t="s">
        <v>44</v>
      </c>
      <c r="Z34" s="5"/>
      <c r="AA34" s="5"/>
      <c r="AB34" s="9" t="s">
        <v>44</v>
      </c>
      <c r="AC34" s="2" t="s">
        <v>47</v>
      </c>
      <c r="AD34" s="2">
        <v>0</v>
      </c>
      <c r="AE34" s="2" t="s">
        <v>50</v>
      </c>
      <c r="AF34" s="2" t="str">
        <f t="shared" si="0"/>
        <v>Normal</v>
      </c>
      <c r="AG34" s="5">
        <v>0</v>
      </c>
      <c r="AH34" s="5" t="str">
        <f>IF(AG34=0,"Normal",
IF(AND(T34="Yes",S34&gt;=2),"ALD",
IF(AND(T34="Yes",S34&gt;=2,O34&gt;N34),"ALD",
IF(AND(T34="No",S34&gt;=2),"ALD",
IF(AND(G34&gt;=25,OR(T34="No",AND(T34="Yes",S34&lt;1))),"NAFLD",
IF(AND(N34&gt;O34,N34&gt;40,S34&lt;1),"NAFLD",
IF(AND(T34="Yes",S34&lt;1,G34&gt;=25,N34&gt;O34),"NAFLD",
IF(OR(P34&gt;1.2,Q34&gt;0.3),"Hyperbilirubinemia",
"Others"))))))))</f>
        <v>Normal</v>
      </c>
      <c r="AI34" s="5" t="str">
        <f>IF(AG34=0,"Normal",
IF(AND(T34="Yes",S34&gt;=2),"ALD (Confirmed)",
IF(AND(T34="Yes",S34&gt;=2,O34&gt;N34),"ALD (Confirmed)",
IF(AND(T34="No",S34&gt;=2),"ALD (Probable)",
IF(AND(G34&gt;=25,OR(T34="No",AND(T34="Yes",S34&lt;1))),"NAFLD",
IF(AND(N34&gt;O34,N34&gt;40,S34&lt;1),"NAFLD",
IF(AND(T34="Yes",S34&lt;1,G34&gt;=25,N34&gt;O34),"NAFLD",
IF(OR(P34&gt;1.2,Q34&gt;0.3),"Hyperbilirubinemia",
"Others"))))))))</f>
        <v>Normal</v>
      </c>
      <c r="AJ34" s="5">
        <v>10</v>
      </c>
      <c r="AK34" s="5" t="s">
        <v>34</v>
      </c>
    </row>
    <row r="35" spans="1:37" ht="43.2" x14ac:dyDescent="0.3">
      <c r="A35" s="5">
        <v>37</v>
      </c>
      <c r="B35" s="5" t="s">
        <v>39</v>
      </c>
      <c r="C35" s="5">
        <v>53</v>
      </c>
      <c r="D35" s="2">
        <v>33</v>
      </c>
      <c r="E35" s="5">
        <v>165</v>
      </c>
      <c r="F35" s="5">
        <v>69.7</v>
      </c>
      <c r="G35" s="6">
        <v>25.601469237832873</v>
      </c>
      <c r="H35" s="9" t="s">
        <v>42</v>
      </c>
      <c r="I35" s="2">
        <v>32</v>
      </c>
      <c r="J35" s="5" t="s">
        <v>44</v>
      </c>
      <c r="K35" s="5" t="s">
        <v>45</v>
      </c>
      <c r="L35" s="5" t="s">
        <v>44</v>
      </c>
      <c r="M35" s="5" t="s">
        <v>44</v>
      </c>
      <c r="N35" s="5">
        <v>13.1</v>
      </c>
      <c r="O35" s="5">
        <v>31.6</v>
      </c>
      <c r="P35" s="5">
        <v>0.18</v>
      </c>
      <c r="Q35" s="5">
        <v>0.02</v>
      </c>
      <c r="R35" s="5">
        <v>0.16</v>
      </c>
      <c r="S35" s="8">
        <v>2.4122137404580153</v>
      </c>
      <c r="T35" s="5" t="s">
        <v>45</v>
      </c>
      <c r="U35" s="5" t="s">
        <v>57</v>
      </c>
      <c r="V35" s="5" t="s">
        <v>62</v>
      </c>
      <c r="W35" s="5" t="s">
        <v>65</v>
      </c>
      <c r="X35" s="5" t="s">
        <v>68</v>
      </c>
      <c r="Y35" s="5" t="s">
        <v>44</v>
      </c>
      <c r="Z35" s="5"/>
      <c r="AA35" s="5"/>
      <c r="AB35" s="9" t="s">
        <v>44</v>
      </c>
      <c r="AC35" s="2" t="s">
        <v>46</v>
      </c>
      <c r="AD35" s="2">
        <v>0</v>
      </c>
      <c r="AE35" s="2" t="s">
        <v>48</v>
      </c>
      <c r="AF35" s="2" t="str">
        <f t="shared" si="0"/>
        <v>Normal</v>
      </c>
      <c r="AG35" s="5">
        <v>0</v>
      </c>
      <c r="AH35" s="5" t="str">
        <f>IF(AG35=0,"Normal",
IF(AND(T35="Yes",S35&gt;=2),"ALD",
IF(AND(T35="Yes",S35&gt;=2,O35&gt;N35),"ALD",
IF(AND(T35="No",S35&gt;=2),"ALD",
IF(AND(G35&gt;=25,OR(T35="No",AND(T35="Yes",S35&lt;1))),"NAFLD",
IF(AND(N35&gt;O35,N35&gt;40,S35&lt;1),"NAFLD",
IF(AND(T35="Yes",S35&lt;1,G35&gt;=25,N35&gt;O35),"NAFLD",
IF(OR(P35&gt;1.2,Q35&gt;0.3),"Hyperbilirubinemia",
"Others"))))))))</f>
        <v>Normal</v>
      </c>
      <c r="AI35" s="5" t="str">
        <f>IF(AG35=0,"Normal",
IF(AND(T35="Yes",S35&gt;=2),"ALD (Confirmed)",
IF(AND(T35="Yes",S35&gt;=2,O35&gt;N35),"ALD (Confirmed)",
IF(AND(T35="No",S35&gt;=2),"ALD (Probable)",
IF(AND(G35&gt;=25,OR(T35="No",AND(T35="Yes",S35&lt;1))),"NAFLD",
IF(AND(N35&gt;O35,N35&gt;40,S35&lt;1),"NAFLD",
IF(AND(T35="Yes",S35&lt;1,G35&gt;=25,N35&gt;O35),"NAFLD",
IF(OR(P35&gt;1.2,Q35&gt;0.3),"Hyperbilirubinemia",
"Others"))))))))</f>
        <v>Normal</v>
      </c>
      <c r="AJ35" s="5">
        <v>34</v>
      </c>
      <c r="AK35" s="5" t="s">
        <v>35</v>
      </c>
    </row>
    <row r="36" spans="1:37" ht="86.4" x14ac:dyDescent="0.3">
      <c r="A36" s="5">
        <v>38</v>
      </c>
      <c r="B36" s="5" t="s">
        <v>39</v>
      </c>
      <c r="C36" s="5">
        <v>55</v>
      </c>
      <c r="D36" s="2">
        <v>32</v>
      </c>
      <c r="E36" s="5">
        <v>159</v>
      </c>
      <c r="F36" s="5">
        <v>76</v>
      </c>
      <c r="G36" s="6">
        <v>30.062101973814329</v>
      </c>
      <c r="H36" s="9" t="s">
        <v>41</v>
      </c>
      <c r="I36" s="2">
        <v>34</v>
      </c>
      <c r="J36" s="5" t="s">
        <v>44</v>
      </c>
      <c r="K36" s="5" t="s">
        <v>44</v>
      </c>
      <c r="L36" s="5" t="s">
        <v>44</v>
      </c>
      <c r="M36" s="5" t="s">
        <v>45</v>
      </c>
      <c r="N36" s="5">
        <v>18.899999999999999</v>
      </c>
      <c r="O36" s="5">
        <v>30.7</v>
      </c>
      <c r="P36" s="5">
        <v>0.61</v>
      </c>
      <c r="Q36" s="5">
        <v>0.13</v>
      </c>
      <c r="R36" s="5">
        <v>0.48</v>
      </c>
      <c r="S36" s="8">
        <v>1.6243386243386244</v>
      </c>
      <c r="T36" s="5" t="s">
        <v>45</v>
      </c>
      <c r="U36" s="5" t="s">
        <v>57</v>
      </c>
      <c r="V36" s="5" t="s">
        <v>62</v>
      </c>
      <c r="W36" s="5" t="s">
        <v>65</v>
      </c>
      <c r="X36" s="5" t="s">
        <v>69</v>
      </c>
      <c r="Y36" s="5" t="s">
        <v>45</v>
      </c>
      <c r="Z36" s="5" t="s">
        <v>75</v>
      </c>
      <c r="AA36" s="5" t="s">
        <v>82</v>
      </c>
      <c r="AB36" s="9" t="s">
        <v>44</v>
      </c>
      <c r="AC36" s="2" t="s">
        <v>46</v>
      </c>
      <c r="AD36" s="2">
        <v>0</v>
      </c>
      <c r="AE36" s="2" t="s">
        <v>49</v>
      </c>
      <c r="AF36" s="2" t="str">
        <f t="shared" si="0"/>
        <v>Normal</v>
      </c>
      <c r="AG36" s="5">
        <v>0</v>
      </c>
      <c r="AH36" s="5" t="str">
        <f>IF(AG36=0,"Normal",
IF(AND(T36="Yes",S36&gt;=2),"ALD",
IF(AND(T36="Yes",S36&gt;=2,O36&gt;N36),"ALD",
IF(AND(T36="No",S36&gt;=2),"ALD",
IF(AND(G36&gt;=25,OR(T36="No",AND(T36="Yes",S36&lt;1))),"NAFLD",
IF(AND(N36&gt;O36,N36&gt;40,S36&lt;1),"NAFLD",
IF(AND(T36="Yes",S36&lt;1,G36&gt;=25,N36&gt;O36),"NAFLD",
IF(OR(P36&gt;1.2,Q36&gt;0.3),"Hyperbilirubinemia",
"Others"))))))))</f>
        <v>Normal</v>
      </c>
      <c r="AI36" s="5" t="str">
        <f>IF(AG36=0,"Normal",
IF(AND(T36="Yes",S36&gt;=2),"ALD (Confirmed)",
IF(AND(T36="Yes",S36&gt;=2,O36&gt;N36),"ALD (Confirmed)",
IF(AND(T36="No",S36&gt;=2),"ALD (Probable)",
IF(AND(G36&gt;=25,OR(T36="No",AND(T36="Yes",S36&lt;1))),"NAFLD",
IF(AND(N36&gt;O36,N36&gt;40,S36&lt;1),"NAFLD",
IF(AND(T36="Yes",S36&lt;1,G36&gt;=25,N36&gt;O36),"NAFLD",
IF(OR(P36&gt;1.2,Q36&gt;0.3),"Hyperbilirubinemia",
"Others"))))))))</f>
        <v>Normal</v>
      </c>
      <c r="AJ36" s="5">
        <v>43</v>
      </c>
      <c r="AK36" s="5" t="s">
        <v>38</v>
      </c>
    </row>
    <row r="37" spans="1:37" ht="28.8" x14ac:dyDescent="0.3">
      <c r="A37" s="5">
        <v>39</v>
      </c>
      <c r="B37" s="5" t="s">
        <v>39</v>
      </c>
      <c r="C37" s="5">
        <v>22</v>
      </c>
      <c r="D37" s="2">
        <v>1</v>
      </c>
      <c r="E37" s="5">
        <v>175</v>
      </c>
      <c r="F37" s="5">
        <v>76</v>
      </c>
      <c r="G37" s="6">
        <v>24.816326530612244</v>
      </c>
      <c r="H37" s="9" t="s">
        <v>33</v>
      </c>
      <c r="I37" s="2">
        <v>36</v>
      </c>
      <c r="J37" s="5" t="s">
        <v>44</v>
      </c>
      <c r="K37" s="5" t="s">
        <v>44</v>
      </c>
      <c r="L37" s="5" t="s">
        <v>44</v>
      </c>
      <c r="M37" s="5" t="s">
        <v>44</v>
      </c>
      <c r="N37" s="5">
        <v>16.93</v>
      </c>
      <c r="O37" s="5">
        <v>22.2</v>
      </c>
      <c r="P37" s="5">
        <v>0.56000000000000005</v>
      </c>
      <c r="Q37" s="5">
        <v>0.1</v>
      </c>
      <c r="R37" s="5">
        <v>0.46</v>
      </c>
      <c r="S37" s="8">
        <v>1.3112817483756645</v>
      </c>
      <c r="T37" s="5" t="s">
        <v>44</v>
      </c>
      <c r="U37" s="5"/>
      <c r="V37" s="5"/>
      <c r="W37" s="5"/>
      <c r="X37" s="5"/>
      <c r="Y37" s="5" t="s">
        <v>44</v>
      </c>
      <c r="Z37" s="5"/>
      <c r="AA37" s="5"/>
      <c r="AB37" s="9" t="s">
        <v>44</v>
      </c>
      <c r="AC37" s="2" t="s">
        <v>47</v>
      </c>
      <c r="AD37" s="2">
        <v>0</v>
      </c>
      <c r="AE37" s="2" t="s">
        <v>48</v>
      </c>
      <c r="AF37" s="2" t="str">
        <f t="shared" si="0"/>
        <v>Normal</v>
      </c>
      <c r="AG37" s="5">
        <v>0</v>
      </c>
      <c r="AH37" s="5" t="str">
        <f>IF(AG37=0,"Normal",
IF(AND(T37="Yes",S37&gt;=2),"ALD",
IF(AND(T37="Yes",S37&gt;=2,O37&gt;N37),"ALD",
IF(AND(T37="No",S37&gt;=2),"ALD",
IF(AND(G37&gt;=25,OR(T37="No",AND(T37="Yes",S37&lt;1))),"NAFLD",
IF(AND(N37&gt;O37,N37&gt;40,S37&lt;1),"NAFLD",
IF(AND(T37="Yes",S37&lt;1,G37&gt;=25,N37&gt;O37),"NAFLD",
IF(OR(P37&gt;1.2,Q37&gt;0.3),"Hyperbilirubinemia",
"Others"))))))))</f>
        <v>Normal</v>
      </c>
      <c r="AI37" s="5" t="str">
        <f>IF(AG37=0,"Normal",
IF(AND(T37="Yes",S37&gt;=2),"ALD (Confirmed)",
IF(AND(T37="Yes",S37&gt;=2,O37&gt;N37),"ALD (Confirmed)",
IF(AND(T37="No",S37&gt;=2),"ALD (Probable)",
IF(AND(G37&gt;=25,OR(T37="No",AND(T37="Yes",S37&lt;1))),"NAFLD",
IF(AND(N37&gt;O37,N37&gt;40,S37&lt;1),"NAFLD",
IF(AND(T37="Yes",S37&lt;1,G37&gt;=25,N37&gt;O37),"NAFLD",
IF(OR(P37&gt;1.2,Q37&gt;0.3),"Hyperbilirubinemia",
"Others"))))))))</f>
        <v>Normal</v>
      </c>
      <c r="AJ37" s="5">
        <v>0</v>
      </c>
      <c r="AK37" s="5" t="s">
        <v>34</v>
      </c>
    </row>
    <row r="38" spans="1:37" ht="86.4" x14ac:dyDescent="0.3">
      <c r="A38" s="5">
        <v>40</v>
      </c>
      <c r="B38" s="5" t="s">
        <v>39</v>
      </c>
      <c r="C38" s="5">
        <v>56</v>
      </c>
      <c r="D38" s="2">
        <v>32</v>
      </c>
      <c r="E38" s="5">
        <v>171</v>
      </c>
      <c r="F38" s="5">
        <v>91</v>
      </c>
      <c r="G38" s="6">
        <v>31.120686707020962</v>
      </c>
      <c r="H38" s="9" t="s">
        <v>41</v>
      </c>
      <c r="I38" s="2">
        <v>40</v>
      </c>
      <c r="J38" s="5" t="s">
        <v>44</v>
      </c>
      <c r="K38" s="5" t="s">
        <v>44</v>
      </c>
      <c r="L38" s="5" t="s">
        <v>44</v>
      </c>
      <c r="M38" s="5" t="s">
        <v>44</v>
      </c>
      <c r="N38" s="5">
        <v>35.6</v>
      </c>
      <c r="O38" s="5">
        <v>36.4</v>
      </c>
      <c r="P38" s="5">
        <v>0.69</v>
      </c>
      <c r="Q38" s="5">
        <v>0.19</v>
      </c>
      <c r="R38" s="5">
        <v>0.5</v>
      </c>
      <c r="S38" s="8">
        <v>1.0224719101123594</v>
      </c>
      <c r="T38" s="5" t="s">
        <v>45</v>
      </c>
      <c r="U38" s="5" t="s">
        <v>58</v>
      </c>
      <c r="V38" s="5" t="s">
        <v>62</v>
      </c>
      <c r="W38" s="5" t="s">
        <v>65</v>
      </c>
      <c r="X38" s="5" t="s">
        <v>69</v>
      </c>
      <c r="Y38" s="5" t="s">
        <v>45</v>
      </c>
      <c r="Z38" s="5" t="s">
        <v>74</v>
      </c>
      <c r="AA38" s="5" t="s">
        <v>78</v>
      </c>
      <c r="AB38" s="9" t="s">
        <v>44</v>
      </c>
      <c r="AC38" s="2" t="s">
        <v>47</v>
      </c>
      <c r="AD38" s="2">
        <v>1</v>
      </c>
      <c r="AE38" s="2" t="s">
        <v>48</v>
      </c>
      <c r="AF38" s="2" t="str">
        <f t="shared" si="0"/>
        <v>Normal</v>
      </c>
      <c r="AG38" s="5">
        <v>0</v>
      </c>
      <c r="AH38" s="5" t="str">
        <f>IF(AG38=0,"Normal",
IF(AND(T38="Yes",S38&gt;=2),"ALD",
IF(AND(T38="Yes",S38&gt;=2,O38&gt;N38),"ALD",
IF(AND(T38="No",S38&gt;=2),"ALD",
IF(AND(G38&gt;=25,OR(T38="No",AND(T38="Yes",S38&lt;1))),"NAFLD",
IF(AND(N38&gt;O38,N38&gt;40,S38&lt;1),"NAFLD",
IF(AND(T38="Yes",S38&lt;1,G38&gt;=25,N38&gt;O38),"NAFLD",
IF(OR(P38&gt;1.2,Q38&gt;0.3),"Hyperbilirubinemia",
"Others"))))))))</f>
        <v>Normal</v>
      </c>
      <c r="AI38" s="5" t="str">
        <f>IF(AG38=0,"Normal",
IF(AND(T38="Yes",S38&gt;=2),"ALD (Confirmed)",
IF(AND(T38="Yes",S38&gt;=2,O38&gt;N38),"ALD (Confirmed)",
IF(AND(T38="No",S38&gt;=2),"ALD (Probable)",
IF(AND(G38&gt;=25,OR(T38="No",AND(T38="Yes",S38&lt;1))),"NAFLD",
IF(AND(N38&gt;O38,N38&gt;40,S38&lt;1),"NAFLD",
IF(AND(T38="Yes",S38&lt;1,G38&gt;=25,N38&gt;O38),"NAFLD",
IF(OR(P38&gt;1.2,Q38&gt;0.3),"Hyperbilirubinemia",
"Others"))))))))</f>
        <v>Normal</v>
      </c>
      <c r="AJ38" s="5">
        <v>42</v>
      </c>
      <c r="AK38" s="5" t="s">
        <v>38</v>
      </c>
    </row>
    <row r="39" spans="1:37" ht="43.2" x14ac:dyDescent="0.3">
      <c r="A39" s="5">
        <v>41</v>
      </c>
      <c r="B39" s="5" t="s">
        <v>39</v>
      </c>
      <c r="C39" s="5">
        <v>28</v>
      </c>
      <c r="D39" s="2">
        <v>1</v>
      </c>
      <c r="E39" s="5">
        <v>163</v>
      </c>
      <c r="F39" s="5">
        <v>65</v>
      </c>
      <c r="G39" s="6">
        <v>24.464601603372348</v>
      </c>
      <c r="H39" s="9" t="s">
        <v>33</v>
      </c>
      <c r="I39" s="2">
        <v>30</v>
      </c>
      <c r="J39" s="5" t="s">
        <v>44</v>
      </c>
      <c r="K39" s="5" t="s">
        <v>44</v>
      </c>
      <c r="L39" s="5" t="s">
        <v>44</v>
      </c>
      <c r="M39" s="5" t="s">
        <v>44</v>
      </c>
      <c r="N39" s="5">
        <v>30.3</v>
      </c>
      <c r="O39" s="5">
        <v>51.3</v>
      </c>
      <c r="P39" s="5">
        <v>0.43</v>
      </c>
      <c r="Q39" s="5">
        <v>0.01</v>
      </c>
      <c r="R39" s="5">
        <v>0.42</v>
      </c>
      <c r="S39" s="8">
        <v>1.693069306930693</v>
      </c>
      <c r="T39" s="5" t="s">
        <v>45</v>
      </c>
      <c r="U39" s="5"/>
      <c r="V39" s="5"/>
      <c r="W39" s="5" t="s">
        <v>65</v>
      </c>
      <c r="X39" s="5" t="s">
        <v>67</v>
      </c>
      <c r="Y39" s="5" t="s">
        <v>44</v>
      </c>
      <c r="Z39" s="5"/>
      <c r="AA39" s="5"/>
      <c r="AB39" s="9" t="s">
        <v>44</v>
      </c>
      <c r="AC39" s="2" t="s">
        <v>46</v>
      </c>
      <c r="AD39" s="2">
        <v>0</v>
      </c>
      <c r="AE39" s="2" t="s">
        <v>48</v>
      </c>
      <c r="AF39" s="2" t="str">
        <f t="shared" si="0"/>
        <v>Abnormal</v>
      </c>
      <c r="AG39" s="5">
        <v>1</v>
      </c>
      <c r="AH39" s="5" t="str">
        <f>IF(AG39=0,"Normal",
IF(AND(T39="Yes",S39&gt;=2),"ALD",
IF(AND(T39="Yes",S39&gt;=2,O39&gt;N39),"ALD",
IF(AND(T39="No",S39&gt;=2),"ALD",
IF(AND(G39&gt;=25,OR(T39="No",AND(T39="Yes",S39&lt;1))),"NAFLD",
IF(AND(N39&gt;O39,N39&gt;40,S39&lt;1),"NAFLD",
IF(AND(T39="Yes",S39&lt;1,G39&gt;=25,N39&gt;O39),"NAFLD",
IF(OR(P39&gt;1.2,Q39&gt;0.3),"Hyperbilirubinemia",
"Others"))))))))</f>
        <v>Others</v>
      </c>
      <c r="AI39" s="5" t="str">
        <f>IF(AG39=0,"Normal",
IF(AND(T39="Yes",S39&gt;=2),"ALD (Confirmed)",
IF(AND(T39="Yes",S39&gt;=2,O39&gt;N39),"ALD (Confirmed)",
IF(AND(T39="No",S39&gt;=2),"ALD (Probable)",
IF(AND(G39&gt;=25,OR(T39="No",AND(T39="Yes",S39&lt;1))),"NAFLD",
IF(AND(N39&gt;O39,N39&gt;40,S39&lt;1),"NAFLD",
IF(AND(T39="Yes",S39&lt;1,G39&gt;=25,N39&gt;O39),"NAFLD",
IF(OR(P39&gt;1.2,Q39&gt;0.3),"Hyperbilirubinemia",
"Others"))))))))</f>
        <v>Others</v>
      </c>
      <c r="AJ39" s="5">
        <v>10</v>
      </c>
      <c r="AK39" s="5" t="s">
        <v>34</v>
      </c>
    </row>
    <row r="40" spans="1:37" ht="43.2" x14ac:dyDescent="0.3">
      <c r="A40" s="5">
        <v>42</v>
      </c>
      <c r="B40" s="5" t="s">
        <v>40</v>
      </c>
      <c r="C40" s="5">
        <v>24</v>
      </c>
      <c r="D40" s="2">
        <v>3</v>
      </c>
      <c r="E40" s="5">
        <v>142</v>
      </c>
      <c r="F40" s="5">
        <v>40</v>
      </c>
      <c r="G40" s="6">
        <v>19.837333862328904</v>
      </c>
      <c r="H40" s="9" t="s">
        <v>33</v>
      </c>
      <c r="I40" s="2">
        <v>28</v>
      </c>
      <c r="J40" s="5" t="s">
        <v>44</v>
      </c>
      <c r="K40" s="5" t="s">
        <v>44</v>
      </c>
      <c r="L40" s="5" t="s">
        <v>45</v>
      </c>
      <c r="M40" s="5" t="s">
        <v>44</v>
      </c>
      <c r="N40" s="5">
        <v>7.36</v>
      </c>
      <c r="O40" s="5">
        <v>20.96</v>
      </c>
      <c r="P40" s="5">
        <v>0.27</v>
      </c>
      <c r="Q40" s="5">
        <v>0.04</v>
      </c>
      <c r="R40" s="5">
        <v>0.23</v>
      </c>
      <c r="S40" s="8">
        <v>2.847826086956522</v>
      </c>
      <c r="T40" s="5" t="s">
        <v>44</v>
      </c>
      <c r="U40" s="5"/>
      <c r="V40" s="5"/>
      <c r="W40" s="5"/>
      <c r="X40" s="5"/>
      <c r="Y40" s="5" t="s">
        <v>44</v>
      </c>
      <c r="Z40" s="5"/>
      <c r="AA40" s="5"/>
      <c r="AB40" s="9" t="s">
        <v>44</v>
      </c>
      <c r="AC40" s="2" t="s">
        <v>46</v>
      </c>
      <c r="AD40" s="2">
        <v>0</v>
      </c>
      <c r="AE40" s="2" t="s">
        <v>50</v>
      </c>
      <c r="AF40" s="2" t="str">
        <f t="shared" si="0"/>
        <v>Normal</v>
      </c>
      <c r="AG40" s="5">
        <v>0</v>
      </c>
      <c r="AH40" s="5" t="str">
        <f>IF(AG40=0,"Normal",
IF(AND(T40="Yes",S40&gt;=2),"ALD",
IF(AND(T40="Yes",S40&gt;=2,O40&gt;N40),"ALD",
IF(AND(T40="No",S40&gt;=2),"ALD",
IF(AND(G40&gt;=25,OR(T40="No",AND(T40="Yes",S40&lt;1))),"NAFLD",
IF(AND(N40&gt;O40,N40&gt;40,S40&lt;1),"NAFLD",
IF(AND(T40="Yes",S40&lt;1,G40&gt;=25,N40&gt;O40),"NAFLD",
IF(OR(P40&gt;1.2,Q40&gt;0.3),"Hyperbilirubinemia",
"Others"))))))))</f>
        <v>Normal</v>
      </c>
      <c r="AI40" s="5" t="str">
        <f>IF(AG40=0,"Normal",
IF(AND(T40="Yes",S40&gt;=2),"ALD (Confirmed)",
IF(AND(T40="Yes",S40&gt;=2,O40&gt;N40),"ALD (Confirmed)",
IF(AND(T40="No",S40&gt;=2),"ALD (Probable)",
IF(AND(G40&gt;=25,OR(T40="No",AND(T40="Yes",S40&lt;1))),"NAFLD",
IF(AND(N40&gt;O40,N40&gt;40,S40&lt;1),"NAFLD",
IF(AND(T40="Yes",S40&lt;1,G40&gt;=25,N40&gt;O40),"NAFLD",
IF(OR(P40&gt;1.2,Q40&gt;0.3),"Hyperbilirubinemia",
"Others"))))))))</f>
        <v>Normal</v>
      </c>
      <c r="AJ40" s="5">
        <v>13</v>
      </c>
      <c r="AK40" s="5" t="s">
        <v>34</v>
      </c>
    </row>
    <row r="41" spans="1:37" ht="43.2" x14ac:dyDescent="0.3">
      <c r="A41" s="5">
        <v>44</v>
      </c>
      <c r="B41" s="5" t="s">
        <v>40</v>
      </c>
      <c r="C41" s="5">
        <v>25</v>
      </c>
      <c r="D41" s="2">
        <v>1</v>
      </c>
      <c r="E41" s="5">
        <v>154</v>
      </c>
      <c r="F41" s="5">
        <v>53</v>
      </c>
      <c r="G41" s="6">
        <v>22.347782088041829</v>
      </c>
      <c r="H41" s="9" t="s">
        <v>33</v>
      </c>
      <c r="I41" s="2">
        <v>34</v>
      </c>
      <c r="J41" s="5" t="s">
        <v>44</v>
      </c>
      <c r="K41" s="5" t="s">
        <v>44</v>
      </c>
      <c r="L41" s="5" t="s">
        <v>44</v>
      </c>
      <c r="M41" s="5" t="s">
        <v>45</v>
      </c>
      <c r="N41" s="5">
        <v>10.77</v>
      </c>
      <c r="O41" s="5">
        <v>22.96</v>
      </c>
      <c r="P41" s="5">
        <v>0.3</v>
      </c>
      <c r="Q41" s="5">
        <v>0.06</v>
      </c>
      <c r="R41" s="5">
        <v>0.24</v>
      </c>
      <c r="S41" s="8">
        <v>2.1318477251624888</v>
      </c>
      <c r="T41" s="5" t="s">
        <v>44</v>
      </c>
      <c r="U41" s="5"/>
      <c r="V41" s="5"/>
      <c r="W41" s="5"/>
      <c r="X41" s="5"/>
      <c r="Y41" s="5" t="s">
        <v>44</v>
      </c>
      <c r="Z41" s="5"/>
      <c r="AA41" s="5"/>
      <c r="AB41" s="9" t="s">
        <v>44</v>
      </c>
      <c r="AC41" s="2" t="s">
        <v>46</v>
      </c>
      <c r="AD41" s="2">
        <v>0</v>
      </c>
      <c r="AE41" s="2" t="s">
        <v>50</v>
      </c>
      <c r="AF41" s="2" t="str">
        <f t="shared" si="0"/>
        <v>Normal</v>
      </c>
      <c r="AG41" s="5">
        <v>0</v>
      </c>
      <c r="AH41" s="5" t="str">
        <f>IF(AG41=0,"Normal",
IF(AND(T41="Yes",S41&gt;=2),"ALD",
IF(AND(T41="Yes",S41&gt;=2,O41&gt;N41),"ALD",
IF(AND(T41="No",S41&gt;=2),"ALD",
IF(AND(G41&gt;=25,OR(T41="No",AND(T41="Yes",S41&lt;1))),"NAFLD",
IF(AND(N41&gt;O41,N41&gt;40,S41&lt;1),"NAFLD",
IF(AND(T41="Yes",S41&lt;1,G41&gt;=25,N41&gt;O41),"NAFLD",
IF(OR(P41&gt;1.2,Q41&gt;0.3),"Hyperbilirubinemia",
"Others"))))))))</f>
        <v>Normal</v>
      </c>
      <c r="AI41" s="5" t="str">
        <f>IF(AG41=0,"Normal",
IF(AND(T41="Yes",S41&gt;=2),"ALD (Confirmed)",
IF(AND(T41="Yes",S41&gt;=2,O41&gt;N41),"ALD (Confirmed)",
IF(AND(T41="No",S41&gt;=2),"ALD (Probable)",
IF(AND(G41&gt;=25,OR(T41="No",AND(T41="Yes",S41&lt;1))),"NAFLD",
IF(AND(N41&gt;O41,N41&gt;40,S41&lt;1),"NAFLD",
IF(AND(T41="Yes",S41&lt;1,G41&gt;=25,N41&gt;O41),"NAFLD",
IF(OR(P41&gt;1.2,Q41&gt;0.3),"Hyperbilirubinemia",
"Others"))))))))</f>
        <v>Normal</v>
      </c>
      <c r="AJ41" s="5">
        <v>12</v>
      </c>
      <c r="AK41" s="5" t="s">
        <v>34</v>
      </c>
    </row>
    <row r="42" spans="1:37" ht="43.2" x14ac:dyDescent="0.3">
      <c r="A42" s="5">
        <v>45</v>
      </c>
      <c r="B42" s="5" t="s">
        <v>40</v>
      </c>
      <c r="C42" s="5">
        <v>43</v>
      </c>
      <c r="D42" s="2">
        <v>15</v>
      </c>
      <c r="E42" s="5">
        <v>150</v>
      </c>
      <c r="F42" s="5">
        <v>41</v>
      </c>
      <c r="G42" s="6">
        <v>18.222222222222221</v>
      </c>
      <c r="H42" s="9" t="s">
        <v>43</v>
      </c>
      <c r="I42" s="2">
        <v>28</v>
      </c>
      <c r="J42" s="5" t="s">
        <v>44</v>
      </c>
      <c r="K42" s="5" t="s">
        <v>44</v>
      </c>
      <c r="L42" s="5" t="s">
        <v>44</v>
      </c>
      <c r="M42" s="5" t="s">
        <v>45</v>
      </c>
      <c r="N42" s="5">
        <v>14.8</v>
      </c>
      <c r="O42" s="5">
        <v>31.2</v>
      </c>
      <c r="P42" s="5">
        <v>0.3</v>
      </c>
      <c r="Q42" s="5">
        <v>0.05</v>
      </c>
      <c r="R42" s="5">
        <v>0.25</v>
      </c>
      <c r="S42" s="8">
        <v>2.1081081081081079</v>
      </c>
      <c r="T42" s="5" t="s">
        <v>44</v>
      </c>
      <c r="U42" s="5"/>
      <c r="V42" s="5"/>
      <c r="W42" s="5"/>
      <c r="X42" s="5"/>
      <c r="Y42" s="5" t="s">
        <v>44</v>
      </c>
      <c r="Z42" s="5"/>
      <c r="AA42" s="5"/>
      <c r="AB42" s="9" t="s">
        <v>45</v>
      </c>
      <c r="AC42" s="2" t="s">
        <v>46</v>
      </c>
      <c r="AD42" s="2">
        <v>0</v>
      </c>
      <c r="AE42" s="2" t="s">
        <v>50</v>
      </c>
      <c r="AF42" s="2" t="str">
        <f t="shared" si="0"/>
        <v>Normal</v>
      </c>
      <c r="AG42" s="5">
        <v>0</v>
      </c>
      <c r="AH42" s="5" t="str">
        <f>IF(AG42=0,"Normal",
IF(AND(T42="Yes",S42&gt;=2),"ALD",
IF(AND(T42="Yes",S42&gt;=2,O42&gt;N42),"ALD",
IF(AND(T42="No",S42&gt;=2),"ALD",
IF(AND(G42&gt;=25,OR(T42="No",AND(T42="Yes",S42&lt;1))),"NAFLD",
IF(AND(N42&gt;O42,N42&gt;40,S42&lt;1),"NAFLD",
IF(AND(T42="Yes",S42&lt;1,G42&gt;=25,N42&gt;O42),"NAFLD",
IF(OR(P42&gt;1.2,Q42&gt;0.3),"Hyperbilirubinemia",
"Others"))))))))</f>
        <v>Normal</v>
      </c>
      <c r="AI42" s="5" t="str">
        <f>IF(AG42=0,"Normal",
IF(AND(T42="Yes",S42&gt;=2),"ALD (Confirmed)",
IF(AND(T42="Yes",S42&gt;=2,O42&gt;N42),"ALD (Confirmed)",
IF(AND(T42="No",S42&gt;=2),"ALD (Probable)",
IF(AND(G42&gt;=25,OR(T42="No",AND(T42="Yes",S42&lt;1))),"NAFLD",
IF(AND(N42&gt;O42,N42&gt;40,S42&lt;1),"NAFLD",
IF(AND(T42="Yes",S42&lt;1,G42&gt;=25,N42&gt;O42),"NAFLD",
IF(OR(P42&gt;1.2,Q42&gt;0.3),"Hyperbilirubinemia",
"Others"))))))))</f>
        <v>Normal</v>
      </c>
      <c r="AJ42" s="5">
        <v>13</v>
      </c>
      <c r="AK42" s="5" t="s">
        <v>34</v>
      </c>
    </row>
    <row r="43" spans="1:37" ht="43.2" x14ac:dyDescent="0.3">
      <c r="A43" s="5">
        <v>46</v>
      </c>
      <c r="B43" s="5" t="s">
        <v>39</v>
      </c>
      <c r="C43" s="5">
        <v>28</v>
      </c>
      <c r="D43" s="2">
        <v>4</v>
      </c>
      <c r="E43" s="5">
        <v>168</v>
      </c>
      <c r="F43" s="5">
        <v>65</v>
      </c>
      <c r="G43" s="6">
        <v>23.03004535147392</v>
      </c>
      <c r="H43" s="9" t="s">
        <v>33</v>
      </c>
      <c r="I43" s="2">
        <v>32</v>
      </c>
      <c r="J43" s="5" t="s">
        <v>44</v>
      </c>
      <c r="K43" s="5" t="s">
        <v>44</v>
      </c>
      <c r="L43" s="5" t="s">
        <v>44</v>
      </c>
      <c r="M43" s="5" t="s">
        <v>44</v>
      </c>
      <c r="N43" s="5">
        <v>16.5</v>
      </c>
      <c r="O43" s="5">
        <v>21</v>
      </c>
      <c r="P43" s="5">
        <v>0.74</v>
      </c>
      <c r="Q43" s="5">
        <v>0.15</v>
      </c>
      <c r="R43" s="5">
        <v>0.59</v>
      </c>
      <c r="S43" s="8">
        <v>1.2727272727272727</v>
      </c>
      <c r="T43" s="5" t="s">
        <v>44</v>
      </c>
      <c r="U43" s="5"/>
      <c r="V43" s="5"/>
      <c r="W43" s="5"/>
      <c r="X43" s="5"/>
      <c r="Y43" s="5" t="s">
        <v>44</v>
      </c>
      <c r="Z43" s="5"/>
      <c r="AA43" s="5"/>
      <c r="AB43" s="9" t="s">
        <v>44</v>
      </c>
      <c r="AC43" s="2" t="s">
        <v>46</v>
      </c>
      <c r="AD43" s="2">
        <v>0</v>
      </c>
      <c r="AE43" s="2" t="s">
        <v>50</v>
      </c>
      <c r="AF43" s="2" t="str">
        <f t="shared" si="0"/>
        <v>Normal</v>
      </c>
      <c r="AG43" s="5">
        <v>0</v>
      </c>
      <c r="AH43" s="5" t="str">
        <f>IF(AG43=0,"Normal",
IF(AND(T43="Yes",S43&gt;=2),"ALD",
IF(AND(T43="Yes",S43&gt;=2,O43&gt;N43),"ALD",
IF(AND(T43="No",S43&gt;=2),"ALD",
IF(AND(G43&gt;=25,OR(T43="No",AND(T43="Yes",S43&lt;1))),"NAFLD",
IF(AND(N43&gt;O43,N43&gt;40,S43&lt;1),"NAFLD",
IF(AND(T43="Yes",S43&lt;1,G43&gt;=25,N43&gt;O43),"NAFLD",
IF(OR(P43&gt;1.2,Q43&gt;0.3),"Hyperbilirubinemia",
"Others"))))))))</f>
        <v>Normal</v>
      </c>
      <c r="AI43" s="5" t="str">
        <f>IF(AG43=0,"Normal",
IF(AND(T43="Yes",S43&gt;=2),"ALD (Confirmed)",
IF(AND(T43="Yes",S43&gt;=2,O43&gt;N43),"ALD (Confirmed)",
IF(AND(T43="No",S43&gt;=2),"ALD (Probable)",
IF(AND(G43&gt;=25,OR(T43="No",AND(T43="Yes",S43&lt;1))),"NAFLD",
IF(AND(N43&gt;O43,N43&gt;40,S43&lt;1),"NAFLD",
IF(AND(T43="Yes",S43&lt;1,G43&gt;=25,N43&gt;O43),"NAFLD",
IF(OR(P43&gt;1.2,Q43&gt;0.3),"Hyperbilirubinemia",
"Others"))))))))</f>
        <v>Normal</v>
      </c>
      <c r="AJ43" s="5">
        <v>11</v>
      </c>
      <c r="AK43" s="5" t="s">
        <v>34</v>
      </c>
    </row>
    <row r="44" spans="1:37" ht="43.2" x14ac:dyDescent="0.3">
      <c r="A44" s="5">
        <v>47</v>
      </c>
      <c r="B44" s="5" t="s">
        <v>40</v>
      </c>
      <c r="C44" s="5">
        <v>48</v>
      </c>
      <c r="D44" s="2">
        <v>20</v>
      </c>
      <c r="E44" s="5">
        <v>150</v>
      </c>
      <c r="F44" s="5">
        <v>73</v>
      </c>
      <c r="G44" s="6">
        <v>32.444444444444443</v>
      </c>
      <c r="H44" s="9" t="s">
        <v>41</v>
      </c>
      <c r="I44" s="2">
        <v>42</v>
      </c>
      <c r="J44" s="5" t="s">
        <v>44</v>
      </c>
      <c r="K44" s="5" t="s">
        <v>44</v>
      </c>
      <c r="L44" s="5" t="s">
        <v>44</v>
      </c>
      <c r="M44" s="5" t="s">
        <v>44</v>
      </c>
      <c r="N44" s="5">
        <v>27.1</v>
      </c>
      <c r="O44" s="5">
        <v>45</v>
      </c>
      <c r="P44" s="5">
        <v>0.44</v>
      </c>
      <c r="Q44" s="5">
        <v>0.17</v>
      </c>
      <c r="R44" s="5">
        <v>0.27</v>
      </c>
      <c r="S44" s="8">
        <v>1.6605166051660516</v>
      </c>
      <c r="T44" s="5" t="s">
        <v>44</v>
      </c>
      <c r="U44" s="5"/>
      <c r="V44" s="5"/>
      <c r="W44" s="5"/>
      <c r="X44" s="5"/>
      <c r="Y44" s="5" t="s">
        <v>44</v>
      </c>
      <c r="Z44" s="5"/>
      <c r="AA44" s="5"/>
      <c r="AB44" s="9" t="s">
        <v>44</v>
      </c>
      <c r="AC44" s="2" t="s">
        <v>46</v>
      </c>
      <c r="AD44" s="2">
        <v>1</v>
      </c>
      <c r="AE44" s="2" t="s">
        <v>50</v>
      </c>
      <c r="AF44" s="2" t="str">
        <f t="shared" si="0"/>
        <v>Abnormal</v>
      </c>
      <c r="AG44" s="5">
        <v>1</v>
      </c>
      <c r="AH44" s="5" t="str">
        <f>IF(AG44=0,"Normal",
IF(AND(T44="Yes",S44&gt;=2),"ALD",
IF(AND(T44="Yes",S44&gt;=2,O44&gt;N44),"ALD",
IF(AND(T44="No",S44&gt;=2),"ALD",
IF(AND(G44&gt;=25,OR(T44="No",AND(T44="Yes",S44&lt;1))),"NAFLD",
IF(AND(N44&gt;O44,N44&gt;40,S44&lt;1),"NAFLD",
IF(AND(T44="Yes",S44&lt;1,G44&gt;=25,N44&gt;O44),"NAFLD",
IF(OR(P44&gt;1.2,Q44&gt;0.3),"Hyperbilirubinemia",
"Others"))))))))</f>
        <v>NAFLD</v>
      </c>
      <c r="AI44" s="5" t="str">
        <f>IF(AG44=0,"Normal",
IF(AND(T44="Yes",S44&gt;=2),"ALD (Confirmed)",
IF(AND(T44="Yes",S44&gt;=2,O44&gt;N44),"ALD (Confirmed)",
IF(AND(T44="No",S44&gt;=2),"ALD (Probable)",
IF(AND(G44&gt;=25,OR(T44="No",AND(T44="Yes",S44&lt;1))),"NAFLD",
IF(AND(N44&gt;O44,N44&gt;40,S44&lt;1),"NAFLD",
IF(AND(T44="Yes",S44&lt;1,G44&gt;=25,N44&gt;O44),"NAFLD",
IF(OR(P44&gt;1.2,Q44&gt;0.3),"Hyperbilirubinemia",
"Others"))))))))</f>
        <v>NAFLD</v>
      </c>
      <c r="AJ44" s="5">
        <v>33</v>
      </c>
      <c r="AK44" s="5" t="s">
        <v>35</v>
      </c>
    </row>
    <row r="45" spans="1:37" ht="86.4" x14ac:dyDescent="0.3">
      <c r="A45" s="5">
        <v>48</v>
      </c>
      <c r="B45" s="5" t="s">
        <v>39</v>
      </c>
      <c r="C45" s="5">
        <v>30</v>
      </c>
      <c r="D45" s="2">
        <v>10</v>
      </c>
      <c r="E45" s="5">
        <v>160</v>
      </c>
      <c r="F45" s="5">
        <v>70</v>
      </c>
      <c r="G45" s="6">
        <v>27.3</v>
      </c>
      <c r="H45" s="9" t="s">
        <v>42</v>
      </c>
      <c r="I45" s="2">
        <v>32</v>
      </c>
      <c r="J45" s="5" t="s">
        <v>44</v>
      </c>
      <c r="K45" s="5" t="s">
        <v>44</v>
      </c>
      <c r="L45" s="5" t="s">
        <v>44</v>
      </c>
      <c r="M45" s="5" t="s">
        <v>44</v>
      </c>
      <c r="N45" s="5">
        <v>38.9</v>
      </c>
      <c r="O45" s="5">
        <v>32.799999999999997</v>
      </c>
      <c r="P45" s="5">
        <v>1.02</v>
      </c>
      <c r="Q45" s="5">
        <v>0.26</v>
      </c>
      <c r="R45" s="5">
        <v>0.76</v>
      </c>
      <c r="S45" s="8">
        <v>0.84318766066838047</v>
      </c>
      <c r="T45" s="5" t="s">
        <v>45</v>
      </c>
      <c r="U45" s="5" t="s">
        <v>57</v>
      </c>
      <c r="V45" s="5" t="s">
        <v>61</v>
      </c>
      <c r="W45" s="5" t="s">
        <v>64</v>
      </c>
      <c r="X45" s="5" t="s">
        <v>69</v>
      </c>
      <c r="Y45" s="5" t="s">
        <v>44</v>
      </c>
      <c r="Z45" s="5"/>
      <c r="AA45" s="5" t="s">
        <v>81</v>
      </c>
      <c r="AB45" s="9" t="s">
        <v>44</v>
      </c>
      <c r="AC45" s="2" t="s">
        <v>46</v>
      </c>
      <c r="AD45" s="2">
        <v>0</v>
      </c>
      <c r="AE45" s="2" t="s">
        <v>49</v>
      </c>
      <c r="AF45" s="2" t="str">
        <f t="shared" si="0"/>
        <v>Normal</v>
      </c>
      <c r="AG45" s="5">
        <v>0</v>
      </c>
      <c r="AH45" s="5" t="str">
        <f>IF(AG45=0,"Normal",
IF(AND(T45="Yes",S45&gt;=2),"ALD",
IF(AND(T45="Yes",S45&gt;=2,O45&gt;N45),"ALD",
IF(AND(T45="No",S45&gt;=2),"ALD",
IF(AND(G45&gt;=25,OR(T45="No",AND(T45="Yes",S45&lt;1))),"NAFLD",
IF(AND(N45&gt;O45,N45&gt;40,S45&lt;1),"NAFLD",
IF(AND(T45="Yes",S45&lt;1,G45&gt;=25,N45&gt;O45),"NAFLD",
IF(OR(P45&gt;1.2,Q45&gt;0.3),"Hyperbilirubinemia",
"Others"))))))))</f>
        <v>Normal</v>
      </c>
      <c r="AI45" s="5" t="str">
        <f>IF(AG45=0,"Normal",
IF(AND(T45="Yes",S45&gt;=2),"ALD (Confirmed)",
IF(AND(T45="Yes",S45&gt;=2,O45&gt;N45),"ALD (Confirmed)",
IF(AND(T45="No",S45&gt;=2),"ALD (Probable)",
IF(AND(G45&gt;=25,OR(T45="No",AND(T45="Yes",S45&lt;1))),"NAFLD",
IF(AND(N45&gt;O45,N45&gt;40,S45&lt;1),"NAFLD",
IF(AND(T45="Yes",S45&lt;1,G45&gt;=25,N45&gt;O45),"NAFLD",
IF(OR(P45&gt;1.2,Q45&gt;0.3),"Hyperbilirubinemia",
"Others"))))))))</f>
        <v>Normal</v>
      </c>
      <c r="AJ45" s="5">
        <v>24</v>
      </c>
      <c r="AK45" s="5" t="s">
        <v>35</v>
      </c>
    </row>
    <row r="46" spans="1:37" ht="43.2" x14ac:dyDescent="0.3">
      <c r="A46" s="5">
        <v>49</v>
      </c>
      <c r="B46" s="5" t="s">
        <v>39</v>
      </c>
      <c r="C46" s="5">
        <v>28</v>
      </c>
      <c r="D46" s="2">
        <v>1</v>
      </c>
      <c r="E46" s="5">
        <v>168</v>
      </c>
      <c r="F46" s="5">
        <v>76</v>
      </c>
      <c r="G46" s="6">
        <v>26.927437641723358</v>
      </c>
      <c r="H46" s="9" t="s">
        <v>42</v>
      </c>
      <c r="I46" s="2">
        <v>34</v>
      </c>
      <c r="J46" s="5" t="s">
        <v>44</v>
      </c>
      <c r="K46" s="5" t="s">
        <v>44</v>
      </c>
      <c r="L46" s="5" t="s">
        <v>44</v>
      </c>
      <c r="M46" s="5" t="s">
        <v>44</v>
      </c>
      <c r="N46" s="5">
        <v>36.5</v>
      </c>
      <c r="O46" s="5">
        <v>39.4</v>
      </c>
      <c r="P46" s="5">
        <v>0.2</v>
      </c>
      <c r="Q46" s="5">
        <v>0.1</v>
      </c>
      <c r="R46" s="5">
        <v>0.1</v>
      </c>
      <c r="S46" s="8">
        <v>1.0794520547945206</v>
      </c>
      <c r="T46" s="5" t="s">
        <v>44</v>
      </c>
      <c r="U46" s="5"/>
      <c r="V46" s="5"/>
      <c r="W46" s="5"/>
      <c r="X46" s="5"/>
      <c r="Y46" s="5" t="s">
        <v>44</v>
      </c>
      <c r="Z46" s="5"/>
      <c r="AA46" s="5"/>
      <c r="AB46" s="9" t="s">
        <v>44</v>
      </c>
      <c r="AC46" s="2" t="s">
        <v>46</v>
      </c>
      <c r="AD46" s="2">
        <v>0</v>
      </c>
      <c r="AE46" s="2" t="s">
        <v>52</v>
      </c>
      <c r="AF46" s="2" t="str">
        <f t="shared" si="0"/>
        <v>Normal</v>
      </c>
      <c r="AG46" s="5">
        <v>0</v>
      </c>
      <c r="AH46" s="5" t="str">
        <f>IF(AG46=0,"Normal",
IF(AND(T46="Yes",S46&gt;=2),"ALD",
IF(AND(T46="Yes",S46&gt;=2,O46&gt;N46),"ALD",
IF(AND(T46="No",S46&gt;=2),"ALD",
IF(AND(G46&gt;=25,OR(T46="No",AND(T46="Yes",S46&lt;1))),"NAFLD",
IF(AND(N46&gt;O46,N46&gt;40,S46&lt;1),"NAFLD",
IF(AND(T46="Yes",S46&lt;1,G46&gt;=25,N46&gt;O46),"NAFLD",
IF(OR(P46&gt;1.2,Q46&gt;0.3),"Hyperbilirubinemia",
"Others"))))))))</f>
        <v>Normal</v>
      </c>
      <c r="AI46" s="5" t="str">
        <f>IF(AG46=0,"Normal",
IF(AND(T46="Yes",S46&gt;=2),"ALD (Confirmed)",
IF(AND(T46="Yes",S46&gt;=2,O46&gt;N46),"ALD (Confirmed)",
IF(AND(T46="No",S46&gt;=2),"ALD (Probable)",
IF(AND(G46&gt;=25,OR(T46="No",AND(T46="Yes",S46&lt;1))),"NAFLD",
IF(AND(N46&gt;O46,N46&gt;40,S46&lt;1),"NAFLD",
IF(AND(T46="Yes",S46&lt;1,G46&gt;=25,N46&gt;O46),"NAFLD",
IF(OR(P46&gt;1.2,Q46&gt;0.3),"Hyperbilirubinemia",
"Others"))))))))</f>
        <v>Normal</v>
      </c>
      <c r="AJ46" s="5">
        <v>11</v>
      </c>
      <c r="AK46" s="5" t="s">
        <v>34</v>
      </c>
    </row>
    <row r="47" spans="1:37" ht="28.8" x14ac:dyDescent="0.3">
      <c r="A47" s="5">
        <v>50</v>
      </c>
      <c r="B47" s="5" t="s">
        <v>40</v>
      </c>
      <c r="C47" s="5">
        <v>27</v>
      </c>
      <c r="D47" s="2">
        <v>1</v>
      </c>
      <c r="E47" s="5">
        <v>150</v>
      </c>
      <c r="F47" s="5">
        <v>47</v>
      </c>
      <c r="G47" s="6">
        <v>20.888888888888889</v>
      </c>
      <c r="H47" s="9" t="s">
        <v>33</v>
      </c>
      <c r="I47" s="2">
        <v>30</v>
      </c>
      <c r="J47" s="5" t="s">
        <v>44</v>
      </c>
      <c r="K47" s="5" t="s">
        <v>44</v>
      </c>
      <c r="L47" s="5" t="s">
        <v>44</v>
      </c>
      <c r="M47" s="5" t="s">
        <v>44</v>
      </c>
      <c r="N47" s="5">
        <v>20.43</v>
      </c>
      <c r="O47" s="5">
        <v>20.010000000000002</v>
      </c>
      <c r="P47" s="5">
        <v>1.03</v>
      </c>
      <c r="Q47" s="5">
        <v>0.23</v>
      </c>
      <c r="R47" s="5">
        <v>0.8</v>
      </c>
      <c r="S47" s="8">
        <v>0.9794419970631425</v>
      </c>
      <c r="T47" s="5" t="s">
        <v>44</v>
      </c>
      <c r="U47" s="5"/>
      <c r="V47" s="5"/>
      <c r="W47" s="5"/>
      <c r="X47" s="5"/>
      <c r="Y47" s="5" t="s">
        <v>44</v>
      </c>
      <c r="Z47" s="5"/>
      <c r="AA47" s="5"/>
      <c r="AB47" s="9" t="s">
        <v>44</v>
      </c>
      <c r="AC47" s="2" t="s">
        <v>47</v>
      </c>
      <c r="AD47" s="2">
        <v>1</v>
      </c>
      <c r="AE47" s="2" t="s">
        <v>49</v>
      </c>
      <c r="AF47" s="2" t="str">
        <f t="shared" si="0"/>
        <v>Normal</v>
      </c>
      <c r="AG47" s="5">
        <v>0</v>
      </c>
      <c r="AH47" s="5" t="str">
        <f>IF(AG47=0,"Normal",
IF(AND(T47="Yes",S47&gt;=2),"ALD",
IF(AND(T47="Yes",S47&gt;=2,O47&gt;N47),"ALD",
IF(AND(T47="No",S47&gt;=2),"ALD",
IF(AND(G47&gt;=25,OR(T47="No",AND(T47="Yes",S47&lt;1))),"NAFLD",
IF(AND(N47&gt;O47,N47&gt;40,S47&lt;1),"NAFLD",
IF(AND(T47="Yes",S47&lt;1,G47&gt;=25,N47&gt;O47),"NAFLD",
IF(OR(P47&gt;1.2,Q47&gt;0.3),"Hyperbilirubinemia",
"Others"))))))))</f>
        <v>Normal</v>
      </c>
      <c r="AI47" s="5" t="str">
        <f>IF(AG47=0,"Normal",
IF(AND(T47="Yes",S47&gt;=2),"ALD (Confirmed)",
IF(AND(T47="Yes",S47&gt;=2,O47&gt;N47),"ALD (Confirmed)",
IF(AND(T47="No",S47&gt;=2),"ALD (Probable)",
IF(AND(G47&gt;=25,OR(T47="No",AND(T47="Yes",S47&lt;1))),"NAFLD",
IF(AND(N47&gt;O47,N47&gt;40,S47&lt;1),"NAFLD",
IF(AND(T47="Yes",S47&lt;1,G47&gt;=25,N47&gt;O47),"NAFLD",
IF(OR(P47&gt;1.2,Q47&gt;0.3),"Hyperbilirubinemia",
"Others"))))))))</f>
        <v>Normal</v>
      </c>
      <c r="AJ47" s="5">
        <v>6</v>
      </c>
      <c r="AK47" s="5" t="s">
        <v>34</v>
      </c>
    </row>
    <row r="48" spans="1:37" ht="43.2" x14ac:dyDescent="0.3">
      <c r="A48" s="5">
        <v>51</v>
      </c>
      <c r="B48" s="5" t="s">
        <v>40</v>
      </c>
      <c r="C48" s="5">
        <v>28</v>
      </c>
      <c r="D48" s="2">
        <v>1</v>
      </c>
      <c r="E48" s="5">
        <v>153</v>
      </c>
      <c r="F48" s="5">
        <v>53</v>
      </c>
      <c r="G48" s="6">
        <v>22.640864624716986</v>
      </c>
      <c r="H48" s="9" t="s">
        <v>33</v>
      </c>
      <c r="I48" s="2">
        <v>30</v>
      </c>
      <c r="J48" s="5" t="s">
        <v>44</v>
      </c>
      <c r="K48" s="5" t="s">
        <v>44</v>
      </c>
      <c r="L48" s="5" t="s">
        <v>44</v>
      </c>
      <c r="M48" s="5" t="s">
        <v>45</v>
      </c>
      <c r="N48" s="5">
        <v>15.5</v>
      </c>
      <c r="O48" s="5">
        <v>23.4</v>
      </c>
      <c r="P48" s="5">
        <v>0.18</v>
      </c>
      <c r="Q48" s="5">
        <v>0.06</v>
      </c>
      <c r="R48" s="5">
        <v>0.12</v>
      </c>
      <c r="S48" s="8">
        <v>1.5096774193548386</v>
      </c>
      <c r="T48" s="5" t="s">
        <v>44</v>
      </c>
      <c r="U48" s="5"/>
      <c r="V48" s="5"/>
      <c r="W48" s="5"/>
      <c r="X48" s="5"/>
      <c r="Y48" s="5" t="s">
        <v>44</v>
      </c>
      <c r="Z48" s="5"/>
      <c r="AA48" s="5"/>
      <c r="AB48" s="9" t="s">
        <v>44</v>
      </c>
      <c r="AC48" s="2" t="s">
        <v>46</v>
      </c>
      <c r="AD48" s="2">
        <v>0</v>
      </c>
      <c r="AE48" s="2" t="s">
        <v>49</v>
      </c>
      <c r="AF48" s="2" t="str">
        <f t="shared" si="0"/>
        <v>Normal</v>
      </c>
      <c r="AG48" s="5">
        <v>0</v>
      </c>
      <c r="AH48" s="5" t="str">
        <f>IF(AG48=0,"Normal",
IF(AND(T48="Yes",S48&gt;=2),"ALD",
IF(AND(T48="Yes",S48&gt;=2,O48&gt;N48),"ALD",
IF(AND(T48="No",S48&gt;=2),"ALD",
IF(AND(G48&gt;=25,OR(T48="No",AND(T48="Yes",S48&lt;1))),"NAFLD",
IF(AND(N48&gt;O48,N48&gt;40,S48&lt;1),"NAFLD",
IF(AND(T48="Yes",S48&lt;1,G48&gt;=25,N48&gt;O48),"NAFLD",
IF(OR(P48&gt;1.2,Q48&gt;0.3),"Hyperbilirubinemia",
"Others"))))))))</f>
        <v>Normal</v>
      </c>
      <c r="AI48" s="5" t="str">
        <f>IF(AG48=0,"Normal",
IF(AND(T48="Yes",S48&gt;=2),"ALD (Confirmed)",
IF(AND(T48="Yes",S48&gt;=2,O48&gt;N48),"ALD (Confirmed)",
IF(AND(T48="No",S48&gt;=2),"ALD (Probable)",
IF(AND(G48&gt;=25,OR(T48="No",AND(T48="Yes",S48&lt;1))),"NAFLD",
IF(AND(N48&gt;O48,N48&gt;40,S48&lt;1),"NAFLD",
IF(AND(T48="Yes",S48&lt;1,G48&gt;=25,N48&gt;O48),"NAFLD",
IF(OR(P48&gt;1.2,Q48&gt;0.3),"Hyperbilirubinemia",
"Others"))))))))</f>
        <v>Normal</v>
      </c>
      <c r="AJ48" s="5">
        <v>7</v>
      </c>
      <c r="AK48" s="5" t="s">
        <v>34</v>
      </c>
    </row>
    <row r="49" spans="1:37" ht="43.2" x14ac:dyDescent="0.3">
      <c r="A49" s="5">
        <v>52</v>
      </c>
      <c r="B49" s="5" t="s">
        <v>39</v>
      </c>
      <c r="C49" s="5">
        <v>29</v>
      </c>
      <c r="D49" s="2">
        <v>8</v>
      </c>
      <c r="E49" s="5">
        <v>165</v>
      </c>
      <c r="F49" s="5">
        <v>45</v>
      </c>
      <c r="G49" s="6">
        <v>16.528925619834709</v>
      </c>
      <c r="H49" s="9" t="s">
        <v>43</v>
      </c>
      <c r="I49" s="2">
        <v>28</v>
      </c>
      <c r="J49" s="5" t="s">
        <v>44</v>
      </c>
      <c r="K49" s="5" t="s">
        <v>44</v>
      </c>
      <c r="L49" s="5" t="s">
        <v>44</v>
      </c>
      <c r="M49" s="5" t="s">
        <v>44</v>
      </c>
      <c r="N49" s="5">
        <v>38.08</v>
      </c>
      <c r="O49" s="5">
        <v>45.09</v>
      </c>
      <c r="P49" s="5">
        <v>0.5</v>
      </c>
      <c r="Q49" s="5">
        <v>0.09</v>
      </c>
      <c r="R49" s="5">
        <v>0.41</v>
      </c>
      <c r="S49" s="8">
        <v>1.1840861344537816</v>
      </c>
      <c r="T49" s="5" t="s">
        <v>45</v>
      </c>
      <c r="U49" s="5"/>
      <c r="V49" s="5" t="s">
        <v>61</v>
      </c>
      <c r="W49" s="5"/>
      <c r="X49" s="5" t="s">
        <v>67</v>
      </c>
      <c r="Y49" s="5" t="s">
        <v>45</v>
      </c>
      <c r="Z49" s="5" t="s">
        <v>75</v>
      </c>
      <c r="AA49" s="5" t="s">
        <v>78</v>
      </c>
      <c r="AB49" s="9" t="s">
        <v>44</v>
      </c>
      <c r="AC49" s="2" t="s">
        <v>46</v>
      </c>
      <c r="AD49" s="2">
        <v>0</v>
      </c>
      <c r="AE49" s="2" t="s">
        <v>49</v>
      </c>
      <c r="AF49" s="2" t="str">
        <f t="shared" si="0"/>
        <v>Abnormal</v>
      </c>
      <c r="AG49" s="5">
        <v>1</v>
      </c>
      <c r="AH49" s="5" t="str">
        <f>IF(AG49=0,"Normal",
IF(AND(T49="Yes",S49&gt;=2),"ALD",
IF(AND(T49="Yes",S49&gt;=2,O49&gt;N49),"ALD",
IF(AND(T49="No",S49&gt;=2),"ALD",
IF(AND(G49&gt;=25,OR(T49="No",AND(T49="Yes",S49&lt;1))),"NAFLD",
IF(AND(N49&gt;O49,N49&gt;40,S49&lt;1),"NAFLD",
IF(AND(T49="Yes",S49&lt;1,G49&gt;=25,N49&gt;O49),"NAFLD",
IF(OR(P49&gt;1.2,Q49&gt;0.3),"Hyperbilirubinemia",
"Others"))))))))</f>
        <v>Others</v>
      </c>
      <c r="AI49" s="5" t="str">
        <f>IF(AG49=0,"Normal",
IF(AND(T49="Yes",S49&gt;=2),"ALD (Confirmed)",
IF(AND(T49="Yes",S49&gt;=2,O49&gt;N49),"ALD (Confirmed)",
IF(AND(T49="No",S49&gt;=2),"ALD (Probable)",
IF(AND(G49&gt;=25,OR(T49="No",AND(T49="Yes",S49&lt;1))),"NAFLD",
IF(AND(N49&gt;O49,N49&gt;40,S49&lt;1),"NAFLD",
IF(AND(T49="Yes",S49&lt;1,G49&gt;=25,N49&gt;O49),"NAFLD",
IF(OR(P49&gt;1.2,Q49&gt;0.3),"Hyperbilirubinemia",
"Others"))))))))</f>
        <v>Others</v>
      </c>
      <c r="AJ49" s="5">
        <v>15</v>
      </c>
      <c r="AK49" s="5" t="s">
        <v>34</v>
      </c>
    </row>
    <row r="50" spans="1:37" ht="43.2" x14ac:dyDescent="0.3">
      <c r="A50" s="5">
        <v>53</v>
      </c>
      <c r="B50" s="5" t="s">
        <v>39</v>
      </c>
      <c r="C50" s="5">
        <v>46</v>
      </c>
      <c r="D50" s="2">
        <v>28</v>
      </c>
      <c r="E50" s="5">
        <v>167</v>
      </c>
      <c r="F50" s="5">
        <v>76</v>
      </c>
      <c r="G50" s="6">
        <v>27.250887446663558</v>
      </c>
      <c r="H50" s="9" t="s">
        <v>42</v>
      </c>
      <c r="I50" s="2">
        <v>32</v>
      </c>
      <c r="J50" s="5" t="s">
        <v>44</v>
      </c>
      <c r="K50" s="5" t="s">
        <v>44</v>
      </c>
      <c r="L50" s="5" t="s">
        <v>44</v>
      </c>
      <c r="M50" s="5" t="s">
        <v>44</v>
      </c>
      <c r="N50" s="5">
        <v>36.159999999999997</v>
      </c>
      <c r="O50" s="5">
        <v>56.54</v>
      </c>
      <c r="P50" s="5">
        <v>0.3</v>
      </c>
      <c r="Q50" s="5">
        <v>7.0000000000000007E-2</v>
      </c>
      <c r="R50" s="5">
        <v>0.23</v>
      </c>
      <c r="S50" s="8">
        <v>1.5636061946902655</v>
      </c>
      <c r="T50" s="5" t="s">
        <v>45</v>
      </c>
      <c r="U50" s="5" t="s">
        <v>55</v>
      </c>
      <c r="V50" s="5" t="s">
        <v>63</v>
      </c>
      <c r="W50" s="5" t="s">
        <v>64</v>
      </c>
      <c r="X50" s="5" t="s">
        <v>67</v>
      </c>
      <c r="Y50" s="5" t="s">
        <v>45</v>
      </c>
      <c r="Z50" s="5" t="s">
        <v>76</v>
      </c>
      <c r="AA50" s="5" t="s">
        <v>79</v>
      </c>
      <c r="AB50" s="9" t="s">
        <v>44</v>
      </c>
      <c r="AC50" s="2" t="s">
        <v>46</v>
      </c>
      <c r="AD50" s="2">
        <v>1</v>
      </c>
      <c r="AE50" s="2" t="s">
        <v>48</v>
      </c>
      <c r="AF50" s="2" t="str">
        <f t="shared" si="0"/>
        <v>Abnormal</v>
      </c>
      <c r="AG50" s="5">
        <v>1</v>
      </c>
      <c r="AH50" s="5" t="str">
        <f>IF(AG50=0,"Normal",
IF(AND(T50="Yes",S50&gt;=2),"ALD",
IF(AND(T50="Yes",S50&gt;=2,O50&gt;N50),"ALD",
IF(AND(T50="No",S50&gt;=2),"ALD",
IF(AND(G50&gt;=25,OR(T50="No",AND(T50="Yes",S50&lt;1))),"NAFLD",
IF(AND(N50&gt;O50,N50&gt;40,S50&lt;1),"NAFLD",
IF(AND(T50="Yes",S50&lt;1,G50&gt;=25,N50&gt;O50),"NAFLD",
IF(OR(P50&gt;1.2,Q50&gt;0.3),"Hyperbilirubinemia",
"Others"))))))))</f>
        <v>Others</v>
      </c>
      <c r="AI50" s="5" t="str">
        <f>IF(AG50=0,"Normal",
IF(AND(T50="Yes",S50&gt;=2),"ALD (Confirmed)",
IF(AND(T50="Yes",S50&gt;=2,O50&gt;N50),"ALD (Confirmed)",
IF(AND(T50="No",S50&gt;=2),"ALD (Probable)",
IF(AND(G50&gt;=25,OR(T50="No",AND(T50="Yes",S50&lt;1))),"NAFLD",
IF(AND(N50&gt;O50,N50&gt;40,S50&lt;1),"NAFLD",
IF(AND(T50="Yes",S50&lt;1,G50&gt;=25,N50&gt;O50),"NAFLD",
IF(OR(P50&gt;1.2,Q50&gt;0.3),"Hyperbilirubinemia",
"Others"))))))))</f>
        <v>Others</v>
      </c>
      <c r="AJ50" s="5">
        <v>37</v>
      </c>
      <c r="AK50" s="5" t="s">
        <v>35</v>
      </c>
    </row>
    <row r="51" spans="1:37" ht="86.4" x14ac:dyDescent="0.3">
      <c r="A51" s="5">
        <v>54</v>
      </c>
      <c r="B51" s="5" t="s">
        <v>39</v>
      </c>
      <c r="C51" s="5">
        <v>38</v>
      </c>
      <c r="D51" s="2">
        <v>17</v>
      </c>
      <c r="E51" s="5">
        <v>165</v>
      </c>
      <c r="F51" s="5">
        <v>102</v>
      </c>
      <c r="G51" s="6">
        <v>37.5</v>
      </c>
      <c r="H51" s="9" t="s">
        <v>41</v>
      </c>
      <c r="I51" s="2">
        <v>38</v>
      </c>
      <c r="J51" s="5" t="s">
        <v>44</v>
      </c>
      <c r="K51" s="5" t="s">
        <v>45</v>
      </c>
      <c r="L51" s="5" t="s">
        <v>44</v>
      </c>
      <c r="M51" s="5" t="s">
        <v>44</v>
      </c>
      <c r="N51" s="5">
        <v>26.5</v>
      </c>
      <c r="O51" s="5">
        <v>25.8</v>
      </c>
      <c r="P51" s="5">
        <v>0.32</v>
      </c>
      <c r="Q51" s="5">
        <v>7.0000000000000007E-2</v>
      </c>
      <c r="R51" s="5">
        <v>0.25</v>
      </c>
      <c r="S51" s="8">
        <v>0.97358490566037736</v>
      </c>
      <c r="T51" s="5" t="s">
        <v>45</v>
      </c>
      <c r="U51" s="5" t="s">
        <v>56</v>
      </c>
      <c r="V51" s="5"/>
      <c r="W51" s="5" t="s">
        <v>65</v>
      </c>
      <c r="X51" s="5" t="s">
        <v>69</v>
      </c>
      <c r="Y51" s="5" t="s">
        <v>45</v>
      </c>
      <c r="Z51" s="5" t="s">
        <v>74</v>
      </c>
      <c r="AA51" s="5" t="s">
        <v>82</v>
      </c>
      <c r="AB51" s="9" t="s">
        <v>44</v>
      </c>
      <c r="AC51" s="2" t="s">
        <v>47</v>
      </c>
      <c r="AD51" s="2">
        <v>0</v>
      </c>
      <c r="AE51" s="2" t="s">
        <v>52</v>
      </c>
      <c r="AF51" s="2" t="str">
        <f t="shared" si="0"/>
        <v>Normal</v>
      </c>
      <c r="AG51" s="5">
        <v>0</v>
      </c>
      <c r="AH51" s="5" t="str">
        <f>IF(AG51=0,"Normal",
IF(AND(T51="Yes",S51&gt;=2),"ALD",
IF(AND(T51="Yes",S51&gt;=2,O51&gt;N51),"ALD",
IF(AND(T51="No",S51&gt;=2),"ALD",
IF(AND(G51&gt;=25,OR(T51="No",AND(T51="Yes",S51&lt;1))),"NAFLD",
IF(AND(N51&gt;O51,N51&gt;40,S51&lt;1),"NAFLD",
IF(AND(T51="Yes",S51&lt;1,G51&gt;=25,N51&gt;O51),"NAFLD",
IF(OR(P51&gt;1.2,Q51&gt;0.3),"Hyperbilirubinemia",
"Others"))))))))</f>
        <v>Normal</v>
      </c>
      <c r="AI51" s="5" t="str">
        <f>IF(AG51=0,"Normal",
IF(AND(T51="Yes",S51&gt;=2),"ALD (Confirmed)",
IF(AND(T51="Yes",S51&gt;=2,O51&gt;N51),"ALD (Confirmed)",
IF(AND(T51="No",S51&gt;=2),"ALD (Probable)",
IF(AND(G51&gt;=25,OR(T51="No",AND(T51="Yes",S51&lt;1))),"NAFLD",
IF(AND(N51&gt;O51,N51&gt;40,S51&lt;1),"NAFLD",
IF(AND(T51="Yes",S51&lt;1,G51&gt;=25,N51&gt;O51),"NAFLD",
IF(OR(P51&gt;1.2,Q51&gt;0.3),"Hyperbilirubinemia",
"Others"))))))))</f>
        <v>Normal</v>
      </c>
      <c r="AJ51" s="5">
        <v>37</v>
      </c>
      <c r="AK51" s="5" t="s">
        <v>35</v>
      </c>
    </row>
    <row r="52" spans="1:37" ht="43.2" x14ac:dyDescent="0.3">
      <c r="A52" s="5">
        <v>55</v>
      </c>
      <c r="B52" s="5" t="s">
        <v>39</v>
      </c>
      <c r="C52" s="5">
        <v>63</v>
      </c>
      <c r="D52" s="2">
        <v>30</v>
      </c>
      <c r="E52" s="5">
        <v>160</v>
      </c>
      <c r="F52" s="5">
        <v>68</v>
      </c>
      <c r="G52" s="6">
        <v>26.562500000000004</v>
      </c>
      <c r="H52" s="9" t="s">
        <v>42</v>
      </c>
      <c r="I52" s="2">
        <v>32</v>
      </c>
      <c r="J52" s="5" t="s">
        <v>44</v>
      </c>
      <c r="K52" s="5" t="s">
        <v>45</v>
      </c>
      <c r="L52" s="5" t="s">
        <v>44</v>
      </c>
      <c r="M52" s="5" t="s">
        <v>45</v>
      </c>
      <c r="N52" s="5">
        <v>48.04</v>
      </c>
      <c r="O52" s="5">
        <v>40.130000000000003</v>
      </c>
      <c r="P52" s="5">
        <v>0.36</v>
      </c>
      <c r="Q52" s="5">
        <v>0.06</v>
      </c>
      <c r="R52" s="5">
        <v>0.3</v>
      </c>
      <c r="S52" s="8">
        <v>0.83534554537885097</v>
      </c>
      <c r="T52" s="5" t="s">
        <v>44</v>
      </c>
      <c r="U52" s="5"/>
      <c r="V52" s="5"/>
      <c r="W52" s="5"/>
      <c r="X52" s="5"/>
      <c r="Y52" s="5" t="s">
        <v>44</v>
      </c>
      <c r="Z52" s="5"/>
      <c r="AA52" s="5"/>
      <c r="AB52" s="9" t="s">
        <v>44</v>
      </c>
      <c r="AC52" s="2" t="s">
        <v>46</v>
      </c>
      <c r="AD52" s="2">
        <v>1</v>
      </c>
      <c r="AE52" s="2" t="s">
        <v>49</v>
      </c>
      <c r="AF52" s="2" t="str">
        <f t="shared" si="0"/>
        <v>Abnormal</v>
      </c>
      <c r="AG52" s="5">
        <v>1</v>
      </c>
      <c r="AH52" s="5" t="str">
        <f>IF(AG52=0,"Normal",
IF(AND(T52="Yes",S52&gt;=2),"ALD",
IF(AND(T52="Yes",S52&gt;=2,O52&gt;N52),"ALD",
IF(AND(T52="No",S52&gt;=2),"ALD",
IF(AND(G52&gt;=25,OR(T52="No",AND(T52="Yes",S52&lt;1))),"NAFLD",
IF(AND(N52&gt;O52,N52&gt;40,S52&lt;1),"NAFLD",
IF(AND(T52="Yes",S52&lt;1,G52&gt;=25,N52&gt;O52),"NAFLD",
IF(OR(P52&gt;1.2,Q52&gt;0.3),"Hyperbilirubinemia",
"Others"))))))))</f>
        <v>NAFLD</v>
      </c>
      <c r="AI52" s="5" t="str">
        <f>IF(AG52=0,"Normal",
IF(AND(T52="Yes",S52&gt;=2),"ALD (Confirmed)",
IF(AND(T52="Yes",S52&gt;=2,O52&gt;N52),"ALD (Confirmed)",
IF(AND(T52="No",S52&gt;=2),"ALD (Probable)",
IF(AND(G52&gt;=25,OR(T52="No",AND(T52="Yes",S52&lt;1))),"NAFLD",
IF(AND(N52&gt;O52,N52&gt;40,S52&lt;1),"NAFLD",
IF(AND(T52="Yes",S52&lt;1,G52&gt;=25,N52&gt;O52),"NAFLD",
IF(OR(P52&gt;1.2,Q52&gt;0.3),"Hyperbilirubinemia",
"Others"))))))))</f>
        <v>NAFLD</v>
      </c>
      <c r="AJ52" s="5">
        <v>32</v>
      </c>
      <c r="AK52" s="5" t="s">
        <v>35</v>
      </c>
    </row>
    <row r="53" spans="1:37" ht="28.8" x14ac:dyDescent="0.3">
      <c r="A53" s="5">
        <v>56</v>
      </c>
      <c r="B53" s="5" t="s">
        <v>39</v>
      </c>
      <c r="C53" s="5">
        <v>35</v>
      </c>
      <c r="D53" s="2">
        <v>10</v>
      </c>
      <c r="E53" s="5">
        <v>173</v>
      </c>
      <c r="F53" s="5">
        <v>78</v>
      </c>
      <c r="G53" s="6">
        <v>26.061679307694877</v>
      </c>
      <c r="H53" s="9" t="s">
        <v>42</v>
      </c>
      <c r="I53" s="2">
        <v>34</v>
      </c>
      <c r="J53" s="5" t="s">
        <v>44</v>
      </c>
      <c r="K53" s="5" t="s">
        <v>44</v>
      </c>
      <c r="L53" s="5" t="s">
        <v>44</v>
      </c>
      <c r="M53" s="5" t="s">
        <v>44</v>
      </c>
      <c r="N53" s="5">
        <v>49.1</v>
      </c>
      <c r="O53" s="5">
        <v>32.799999999999997</v>
      </c>
      <c r="P53" s="5">
        <v>0.93</v>
      </c>
      <c r="Q53" s="5">
        <v>0.09</v>
      </c>
      <c r="R53" s="5">
        <v>0.84</v>
      </c>
      <c r="S53" s="8">
        <v>0.66802443991853355</v>
      </c>
      <c r="T53" s="5" t="s">
        <v>44</v>
      </c>
      <c r="U53" s="5"/>
      <c r="V53" s="5"/>
      <c r="W53" s="5"/>
      <c r="X53" s="5"/>
      <c r="Y53" s="5" t="s">
        <v>44</v>
      </c>
      <c r="Z53" s="5"/>
      <c r="AA53" s="5"/>
      <c r="AB53" s="9" t="s">
        <v>44</v>
      </c>
      <c r="AC53" s="2" t="s">
        <v>47</v>
      </c>
      <c r="AD53" s="2">
        <v>0</v>
      </c>
      <c r="AE53" s="2" t="s">
        <v>52</v>
      </c>
      <c r="AF53" s="2" t="str">
        <f t="shared" si="0"/>
        <v>Normal</v>
      </c>
      <c r="AG53" s="5">
        <v>0</v>
      </c>
      <c r="AH53" s="5" t="str">
        <f>IF(AG53=0,"Normal",
IF(AND(T53="Yes",S53&gt;=2),"ALD",
IF(AND(T53="Yes",S53&gt;=2,O53&gt;N53),"ALD",
IF(AND(T53="No",S53&gt;=2),"ALD",
IF(AND(G53&gt;=25,OR(T53="No",AND(T53="Yes",S53&lt;1))),"NAFLD",
IF(AND(N53&gt;O53,N53&gt;40,S53&lt;1),"NAFLD",
IF(AND(T53="Yes",S53&lt;1,G53&gt;=25,N53&gt;O53),"NAFLD",
IF(OR(P53&gt;1.2,Q53&gt;0.3),"Hyperbilirubinemia",
"Others"))))))))</f>
        <v>Normal</v>
      </c>
      <c r="AI53" s="5" t="str">
        <f>IF(AG53=0,"Normal",
IF(AND(T53="Yes",S53&gt;=2),"ALD (Confirmed)",
IF(AND(T53="Yes",S53&gt;=2,O53&gt;N53),"ALD (Confirmed)",
IF(AND(T53="No",S53&gt;=2),"ALD (Probable)",
IF(AND(G53&gt;=25,OR(T53="No",AND(T53="Yes",S53&lt;1))),"NAFLD",
IF(AND(N53&gt;O53,N53&gt;40,S53&lt;1),"NAFLD",
IF(AND(T53="Yes",S53&lt;1,G53&gt;=25,N53&gt;O53),"NAFLD",
IF(OR(P53&gt;1.2,Q53&gt;0.3),"Hyperbilirubinemia",
"Others"))))))))</f>
        <v>Normal</v>
      </c>
      <c r="AJ53" s="5">
        <v>14</v>
      </c>
      <c r="AK53" s="5" t="s">
        <v>34</v>
      </c>
    </row>
    <row r="54" spans="1:37" ht="115.2" x14ac:dyDescent="0.3">
      <c r="A54" s="5">
        <v>57</v>
      </c>
      <c r="B54" s="5" t="s">
        <v>39</v>
      </c>
      <c r="C54" s="5">
        <v>36</v>
      </c>
      <c r="D54" s="2">
        <v>13</v>
      </c>
      <c r="E54" s="5">
        <v>174</v>
      </c>
      <c r="F54" s="5">
        <v>76</v>
      </c>
      <c r="G54" s="6">
        <v>25.102391333069097</v>
      </c>
      <c r="H54" s="9" t="s">
        <v>42</v>
      </c>
      <c r="I54" s="2">
        <v>34</v>
      </c>
      <c r="J54" s="5" t="s">
        <v>44</v>
      </c>
      <c r="K54" s="5" t="s">
        <v>44</v>
      </c>
      <c r="L54" s="5" t="s">
        <v>44</v>
      </c>
      <c r="M54" s="5" t="s">
        <v>44</v>
      </c>
      <c r="N54" s="5">
        <v>69.599999999999994</v>
      </c>
      <c r="O54" s="5">
        <v>35.200000000000003</v>
      </c>
      <c r="P54" s="5">
        <v>0.31</v>
      </c>
      <c r="Q54" s="5">
        <v>0.08</v>
      </c>
      <c r="R54" s="5">
        <v>0.23</v>
      </c>
      <c r="S54" s="8">
        <v>0.50574712643678166</v>
      </c>
      <c r="T54" s="5" t="s">
        <v>45</v>
      </c>
      <c r="U54" s="5" t="s">
        <v>57</v>
      </c>
      <c r="V54" s="5" t="s">
        <v>60</v>
      </c>
      <c r="W54" s="5" t="s">
        <v>64</v>
      </c>
      <c r="X54" s="5" t="s">
        <v>70</v>
      </c>
      <c r="Y54" s="5" t="s">
        <v>45</v>
      </c>
      <c r="Z54" s="5" t="s">
        <v>75</v>
      </c>
      <c r="AA54" s="5" t="s">
        <v>78</v>
      </c>
      <c r="AB54" s="9" t="s">
        <v>44</v>
      </c>
      <c r="AC54" s="2" t="s">
        <v>46</v>
      </c>
      <c r="AD54" s="2">
        <v>0</v>
      </c>
      <c r="AE54" s="2" t="s">
        <v>52</v>
      </c>
      <c r="AF54" s="2" t="str">
        <f t="shared" si="0"/>
        <v>Abnormal</v>
      </c>
      <c r="AG54" s="5">
        <v>1</v>
      </c>
      <c r="AH54" s="5" t="str">
        <f>IF(AG54=0,"Normal",
IF(AND(T54="Yes",S54&gt;=2),"ALD",
IF(AND(T54="Yes",S54&gt;=2,O54&gt;N54),"ALD",
IF(AND(T54="No",S54&gt;=2),"ALD",
IF(AND(G54&gt;=25,OR(T54="No",AND(T54="Yes",S54&lt;1))),"NAFLD",
IF(AND(N54&gt;O54,N54&gt;40,S54&lt;1),"NAFLD",
IF(AND(T54="Yes",S54&lt;1,G54&gt;=25,N54&gt;O54),"NAFLD",
IF(OR(P54&gt;1.2,Q54&gt;0.3),"Hyperbilirubinemia",
"Others"))))))))</f>
        <v>NAFLD</v>
      </c>
      <c r="AI54" s="5" t="str">
        <f>IF(AG54=0,"Normal",
IF(AND(T54="Yes",S54&gt;=2),"ALD (Confirmed)",
IF(AND(T54="Yes",S54&gt;=2,O54&gt;N54),"ALD (Confirmed)",
IF(AND(T54="No",S54&gt;=2),"ALD (Probable)",
IF(AND(G54&gt;=25,OR(T54="No",AND(T54="Yes",S54&lt;1))),"NAFLD",
IF(AND(N54&gt;O54,N54&gt;40,S54&lt;1),"NAFLD",
IF(AND(T54="Yes",S54&lt;1,G54&gt;=25,N54&gt;O54),"NAFLD",
IF(OR(P54&gt;1.2,Q54&gt;0.3),"Hyperbilirubinemia",
"Others"))))))))</f>
        <v>NAFLD</v>
      </c>
      <c r="AJ54" s="5">
        <v>33</v>
      </c>
      <c r="AK54" s="5" t="s">
        <v>35</v>
      </c>
    </row>
    <row r="55" spans="1:37" ht="43.2" x14ac:dyDescent="0.3">
      <c r="A55" s="5">
        <v>58</v>
      </c>
      <c r="B55" s="5" t="s">
        <v>39</v>
      </c>
      <c r="C55" s="5">
        <v>45</v>
      </c>
      <c r="D55" s="2">
        <v>20</v>
      </c>
      <c r="E55" s="5">
        <v>165</v>
      </c>
      <c r="F55" s="5">
        <v>65</v>
      </c>
      <c r="G55" s="6">
        <v>23.875114784205692</v>
      </c>
      <c r="H55" s="9" t="s">
        <v>33</v>
      </c>
      <c r="I55" s="2">
        <v>32</v>
      </c>
      <c r="J55" s="5" t="s">
        <v>44</v>
      </c>
      <c r="K55" s="5" t="s">
        <v>44</v>
      </c>
      <c r="L55" s="5" t="s">
        <v>44</v>
      </c>
      <c r="M55" s="5" t="s">
        <v>44</v>
      </c>
      <c r="N55" s="5">
        <v>17.45</v>
      </c>
      <c r="O55" s="5">
        <v>37.43</v>
      </c>
      <c r="P55" s="5">
        <v>0.56000000000000005</v>
      </c>
      <c r="Q55" s="5">
        <v>0.26</v>
      </c>
      <c r="R55" s="5">
        <v>0.3</v>
      </c>
      <c r="S55" s="8">
        <v>2.1449856733524357</v>
      </c>
      <c r="T55" s="5" t="s">
        <v>45</v>
      </c>
      <c r="U55" s="5" t="s">
        <v>55</v>
      </c>
      <c r="V55" s="5" t="s">
        <v>59</v>
      </c>
      <c r="W55" s="5" t="s">
        <v>65</v>
      </c>
      <c r="X55" s="5" t="s">
        <v>67</v>
      </c>
      <c r="Y55" s="5" t="s">
        <v>44</v>
      </c>
      <c r="Z55" s="5"/>
      <c r="AA55" s="5"/>
      <c r="AB55" s="9" t="s">
        <v>44</v>
      </c>
      <c r="AC55" s="2" t="s">
        <v>46</v>
      </c>
      <c r="AD55" s="2">
        <v>1</v>
      </c>
      <c r="AE55" s="2" t="s">
        <v>52</v>
      </c>
      <c r="AF55" s="2" t="str">
        <f t="shared" si="0"/>
        <v>Normal</v>
      </c>
      <c r="AG55" s="5">
        <v>0</v>
      </c>
      <c r="AH55" s="5" t="str">
        <f>IF(AG55=0,"Normal",
IF(AND(T55="Yes",S55&gt;=2),"ALD",
IF(AND(T55="Yes",S55&gt;=2,O55&gt;N55),"ALD",
IF(AND(T55="No",S55&gt;=2),"ALD",
IF(AND(G55&gt;=25,OR(T55="No",AND(T55="Yes",S55&lt;1))),"NAFLD",
IF(AND(N55&gt;O55,N55&gt;40,S55&lt;1),"NAFLD",
IF(AND(T55="Yes",S55&lt;1,G55&gt;=25,N55&gt;O55),"NAFLD",
IF(OR(P55&gt;1.2,Q55&gt;0.3),"Hyperbilirubinemia",
"Others"))))))))</f>
        <v>Normal</v>
      </c>
      <c r="AI55" s="5" t="str">
        <f>IF(AG55=0,"Normal",
IF(AND(T55="Yes",S55&gt;=2),"ALD (Confirmed)",
IF(AND(T55="Yes",S55&gt;=2,O55&gt;N55),"ALD (Confirmed)",
IF(AND(T55="No",S55&gt;=2),"ALD (Probable)",
IF(AND(G55&gt;=25,OR(T55="No",AND(T55="Yes",S55&lt;1))),"NAFLD",
IF(AND(N55&gt;O55,N55&gt;40,S55&lt;1),"NAFLD",
IF(AND(T55="Yes",S55&lt;1,G55&gt;=25,N55&gt;O55),"NAFLD",
IF(OR(P55&gt;1.2,Q55&gt;0.3),"Hyperbilirubinemia",
"Others"))))))))</f>
        <v>Normal</v>
      </c>
      <c r="AJ55" s="5">
        <v>25</v>
      </c>
      <c r="AK55" s="5" t="s">
        <v>35</v>
      </c>
    </row>
    <row r="56" spans="1:37" ht="43.2" x14ac:dyDescent="0.3">
      <c r="A56" s="5">
        <v>59</v>
      </c>
      <c r="B56" s="5" t="s">
        <v>39</v>
      </c>
      <c r="C56" s="5">
        <v>44</v>
      </c>
      <c r="D56" s="2">
        <v>20</v>
      </c>
      <c r="E56" s="5">
        <v>170</v>
      </c>
      <c r="F56" s="5">
        <v>82</v>
      </c>
      <c r="G56" s="6">
        <v>28.373702422145328</v>
      </c>
      <c r="H56" s="9" t="s">
        <v>42</v>
      </c>
      <c r="I56" s="2">
        <v>34</v>
      </c>
      <c r="J56" s="5" t="s">
        <v>44</v>
      </c>
      <c r="K56" s="5" t="s">
        <v>44</v>
      </c>
      <c r="L56" s="5" t="s">
        <v>44</v>
      </c>
      <c r="M56" s="5" t="s">
        <v>44</v>
      </c>
      <c r="N56" s="5">
        <v>29.46</v>
      </c>
      <c r="O56" s="5">
        <v>77.16</v>
      </c>
      <c r="P56" s="5">
        <v>0.21</v>
      </c>
      <c r="Q56" s="5">
        <v>0.2</v>
      </c>
      <c r="R56" s="5">
        <v>0.01</v>
      </c>
      <c r="S56" s="8">
        <v>2.6191446028513234</v>
      </c>
      <c r="T56" s="5" t="s">
        <v>45</v>
      </c>
      <c r="U56" s="5" t="s">
        <v>56</v>
      </c>
      <c r="V56" s="5" t="s">
        <v>59</v>
      </c>
      <c r="W56" s="5" t="s">
        <v>65</v>
      </c>
      <c r="X56" s="5" t="s">
        <v>67</v>
      </c>
      <c r="Y56" s="5" t="s">
        <v>44</v>
      </c>
      <c r="Z56" s="5"/>
      <c r="AA56" s="5"/>
      <c r="AB56" s="9" t="s">
        <v>44</v>
      </c>
      <c r="AC56" s="2" t="s">
        <v>46</v>
      </c>
      <c r="AD56" s="2">
        <v>0</v>
      </c>
      <c r="AE56" s="2" t="s">
        <v>49</v>
      </c>
      <c r="AF56" s="2" t="str">
        <f t="shared" si="0"/>
        <v>Abnormal</v>
      </c>
      <c r="AG56" s="5">
        <v>1</v>
      </c>
      <c r="AH56" s="5" t="str">
        <f>IF(AG56=0,"Normal",
IF(AND(T56="Yes",S56&gt;=2),"ALD",
IF(AND(T56="Yes",S56&gt;=2,O56&gt;N56),"ALD",
IF(AND(T56="No",S56&gt;=2),"ALD",
IF(AND(G56&gt;=25,OR(T56="No",AND(T56="Yes",S56&lt;1))),"NAFLD",
IF(AND(N56&gt;O56,N56&gt;40,S56&lt;1),"NAFLD",
IF(AND(T56="Yes",S56&lt;1,G56&gt;=25,N56&gt;O56),"NAFLD",
IF(OR(P56&gt;1.2,Q56&gt;0.3),"Hyperbilirubinemia",
"Others"))))))))</f>
        <v>ALD</v>
      </c>
      <c r="AI56" s="5" t="str">
        <f>IF(AG56=0,"Normal",
IF(AND(T56="Yes",S56&gt;=2),"ALD (Confirmed)",
IF(AND(T56="Yes",S56&gt;=2,O56&gt;N56),"ALD (Confirmed)",
IF(AND(T56="No",S56&gt;=2),"ALD (Probable)",
IF(AND(G56&gt;=25,OR(T56="No",AND(T56="Yes",S56&lt;1))),"NAFLD",
IF(AND(N56&gt;O56,N56&gt;40,S56&lt;1),"NAFLD",
IF(AND(T56="Yes",S56&lt;1,G56&gt;=25,N56&gt;O56),"NAFLD",
IF(OR(P56&gt;1.2,Q56&gt;0.3),"Hyperbilirubinemia",
"Others"))))))))</f>
        <v>ALD (Confirmed)</v>
      </c>
      <c r="AJ56" s="5">
        <v>34</v>
      </c>
      <c r="AK56" s="5" t="s">
        <v>35</v>
      </c>
    </row>
    <row r="57" spans="1:37" ht="86.4" x14ac:dyDescent="0.3">
      <c r="A57" s="5">
        <v>60</v>
      </c>
      <c r="B57" s="5" t="s">
        <v>39</v>
      </c>
      <c r="C57" s="5">
        <v>57</v>
      </c>
      <c r="D57" s="2">
        <v>19</v>
      </c>
      <c r="E57" s="5">
        <v>158</v>
      </c>
      <c r="F57" s="5">
        <v>74</v>
      </c>
      <c r="G57" s="6">
        <v>29.642685467072585</v>
      </c>
      <c r="H57" s="9" t="s">
        <v>42</v>
      </c>
      <c r="I57" s="2">
        <v>38</v>
      </c>
      <c r="J57" s="5" t="s">
        <v>45</v>
      </c>
      <c r="K57" s="5" t="s">
        <v>45</v>
      </c>
      <c r="L57" s="5" t="s">
        <v>44</v>
      </c>
      <c r="M57" s="5" t="s">
        <v>44</v>
      </c>
      <c r="N57" s="5">
        <v>14.89</v>
      </c>
      <c r="O57" s="5">
        <v>20.58</v>
      </c>
      <c r="P57" s="5">
        <v>0.36</v>
      </c>
      <c r="Q57" s="5">
        <v>0.19</v>
      </c>
      <c r="R57" s="5">
        <v>0.17</v>
      </c>
      <c r="S57" s="8">
        <v>1.3821356615177971</v>
      </c>
      <c r="T57" s="5" t="s">
        <v>45</v>
      </c>
      <c r="U57" s="5" t="s">
        <v>55</v>
      </c>
      <c r="V57" s="5" t="s">
        <v>59</v>
      </c>
      <c r="W57" s="5" t="s">
        <v>65</v>
      </c>
      <c r="X57" s="5" t="s">
        <v>69</v>
      </c>
      <c r="Y57" s="5" t="s">
        <v>44</v>
      </c>
      <c r="Z57" s="5"/>
      <c r="AA57" s="5"/>
      <c r="AB57" s="9" t="s">
        <v>44</v>
      </c>
      <c r="AC57" s="2" t="s">
        <v>47</v>
      </c>
      <c r="AD57" s="2">
        <v>0</v>
      </c>
      <c r="AE57" s="2" t="s">
        <v>52</v>
      </c>
      <c r="AF57" s="2" t="str">
        <f t="shared" si="0"/>
        <v>Normal</v>
      </c>
      <c r="AG57" s="5">
        <v>0</v>
      </c>
      <c r="AH57" s="5" t="str">
        <f>IF(AG57=0,"Normal",
IF(AND(T57="Yes",S57&gt;=2),"ALD",
IF(AND(T57="Yes",S57&gt;=2,O57&gt;N57),"ALD",
IF(AND(T57="No",S57&gt;=2),"ALD",
IF(AND(G57&gt;=25,OR(T57="No",AND(T57="Yes",S57&lt;1))),"NAFLD",
IF(AND(N57&gt;O57,N57&gt;40,S57&lt;1),"NAFLD",
IF(AND(T57="Yes",S57&lt;1,G57&gt;=25,N57&gt;O57),"NAFLD",
IF(OR(P57&gt;1.2,Q57&gt;0.3),"Hyperbilirubinemia",
"Others"))))))))</f>
        <v>Normal</v>
      </c>
      <c r="AI57" s="5" t="str">
        <f>IF(AG57=0,"Normal",
IF(AND(T57="Yes",S57&gt;=2),"ALD (Confirmed)",
IF(AND(T57="Yes",S57&gt;=2,O57&gt;N57),"ALD (Confirmed)",
IF(AND(T57="No",S57&gt;=2),"ALD (Probable)",
IF(AND(G57&gt;=25,OR(T57="No",AND(T57="Yes",S57&lt;1))),"NAFLD",
IF(AND(N57&gt;O57,N57&gt;40,S57&lt;1),"NAFLD",
IF(AND(T57="Yes",S57&lt;1,G57&gt;=25,N57&gt;O57),"NAFLD",
IF(OR(P57&gt;1.2,Q57&gt;0.3),"Hyperbilirubinemia",
"Others"))))))))</f>
        <v>Normal</v>
      </c>
      <c r="AJ57" s="5">
        <v>46</v>
      </c>
      <c r="AK57" s="5" t="s">
        <v>38</v>
      </c>
    </row>
    <row r="58" spans="1:37" ht="28.8" x14ac:dyDescent="0.3">
      <c r="A58" s="5">
        <v>61</v>
      </c>
      <c r="B58" s="5" t="s">
        <v>39</v>
      </c>
      <c r="C58" s="5">
        <v>37</v>
      </c>
      <c r="D58" s="2">
        <v>10</v>
      </c>
      <c r="E58" s="5">
        <v>165</v>
      </c>
      <c r="F58" s="5">
        <v>61</v>
      </c>
      <c r="G58" s="6">
        <v>22.4058769513315</v>
      </c>
      <c r="H58" s="9" t="s">
        <v>33</v>
      </c>
      <c r="I58" s="2">
        <v>32</v>
      </c>
      <c r="J58" s="5" t="s">
        <v>44</v>
      </c>
      <c r="K58" s="5" t="s">
        <v>44</v>
      </c>
      <c r="L58" s="5" t="s">
        <v>44</v>
      </c>
      <c r="M58" s="5" t="s">
        <v>44</v>
      </c>
      <c r="N58" s="5">
        <v>31.6</v>
      </c>
      <c r="O58" s="5">
        <v>35.200000000000003</v>
      </c>
      <c r="P58" s="5">
        <v>0.77</v>
      </c>
      <c r="Q58" s="5">
        <v>0.13</v>
      </c>
      <c r="R58" s="5">
        <v>0.64</v>
      </c>
      <c r="S58" s="8">
        <v>1.1139240506329113</v>
      </c>
      <c r="T58" s="5" t="s">
        <v>45</v>
      </c>
      <c r="U58" s="5" t="s">
        <v>56</v>
      </c>
      <c r="V58" s="5" t="s">
        <v>60</v>
      </c>
      <c r="W58" s="5" t="s">
        <v>64</v>
      </c>
      <c r="X58" s="5" t="s">
        <v>68</v>
      </c>
      <c r="Y58" s="5" t="s">
        <v>44</v>
      </c>
      <c r="Z58" s="5"/>
      <c r="AA58" s="5"/>
      <c r="AB58" s="9" t="s">
        <v>44</v>
      </c>
      <c r="AC58" s="2" t="s">
        <v>47</v>
      </c>
      <c r="AD58" s="2">
        <v>1</v>
      </c>
      <c r="AE58" s="2" t="s">
        <v>52</v>
      </c>
      <c r="AF58" s="2" t="str">
        <f t="shared" si="0"/>
        <v>Normal</v>
      </c>
      <c r="AG58" s="5">
        <v>0</v>
      </c>
      <c r="AH58" s="5" t="str">
        <f>IF(AG58=0,"Normal",
IF(AND(T58="Yes",S58&gt;=2),"ALD",
IF(AND(T58="Yes",S58&gt;=2,O58&gt;N58),"ALD",
IF(AND(T58="No",S58&gt;=2),"ALD",
IF(AND(G58&gt;=25,OR(T58="No",AND(T58="Yes",S58&lt;1))),"NAFLD",
IF(AND(N58&gt;O58,N58&gt;40,S58&lt;1),"NAFLD",
IF(AND(T58="Yes",S58&lt;1,G58&gt;=25,N58&gt;O58),"NAFLD",
IF(OR(P58&gt;1.2,Q58&gt;0.3),"Hyperbilirubinemia",
"Others"))))))))</f>
        <v>Normal</v>
      </c>
      <c r="AI58" s="5" t="str">
        <f>IF(AG58=0,"Normal",
IF(AND(T58="Yes",S58&gt;=2),"ALD (Confirmed)",
IF(AND(T58="Yes",S58&gt;=2,O58&gt;N58),"ALD (Confirmed)",
IF(AND(T58="No",S58&gt;=2),"ALD (Probable)",
IF(AND(G58&gt;=25,OR(T58="No",AND(T58="Yes",S58&lt;1))),"NAFLD",
IF(AND(N58&gt;O58,N58&gt;40,S58&lt;1),"NAFLD",
IF(AND(T58="Yes",S58&lt;1,G58&gt;=25,N58&gt;O58),"NAFLD",
IF(OR(P58&gt;1.2,Q58&gt;0.3),"Hyperbilirubinemia",
"Others"))))))))</f>
        <v>Normal</v>
      </c>
      <c r="AJ58" s="5">
        <v>18</v>
      </c>
      <c r="AK58" s="5" t="s">
        <v>34</v>
      </c>
    </row>
    <row r="59" spans="1:37" ht="28.8" x14ac:dyDescent="0.3">
      <c r="A59" s="5">
        <v>62</v>
      </c>
      <c r="B59" s="5" t="s">
        <v>39</v>
      </c>
      <c r="C59" s="5">
        <v>36</v>
      </c>
      <c r="D59" s="2">
        <v>15</v>
      </c>
      <c r="E59" s="5">
        <v>175</v>
      </c>
      <c r="F59" s="5">
        <v>86</v>
      </c>
      <c r="G59" s="6">
        <v>28.081632653061224</v>
      </c>
      <c r="H59" s="9" t="s">
        <v>42</v>
      </c>
      <c r="I59" s="2">
        <v>36</v>
      </c>
      <c r="J59" s="5" t="s">
        <v>44</v>
      </c>
      <c r="K59" s="5" t="s">
        <v>44</v>
      </c>
      <c r="L59" s="5" t="s">
        <v>44</v>
      </c>
      <c r="M59" s="5" t="s">
        <v>44</v>
      </c>
      <c r="N59" s="5">
        <v>21.2</v>
      </c>
      <c r="O59" s="5">
        <v>31.68</v>
      </c>
      <c r="P59" s="5">
        <v>0.73</v>
      </c>
      <c r="Q59" s="5">
        <v>0.23</v>
      </c>
      <c r="R59" s="5">
        <v>0.5</v>
      </c>
      <c r="S59" s="8">
        <v>1.4943396226415095</v>
      </c>
      <c r="T59" s="5" t="s">
        <v>44</v>
      </c>
      <c r="U59" s="5"/>
      <c r="V59" s="5"/>
      <c r="W59" s="5"/>
      <c r="X59" s="5"/>
      <c r="Y59" s="5" t="s">
        <v>44</v>
      </c>
      <c r="Z59" s="5"/>
      <c r="AA59" s="5"/>
      <c r="AB59" s="9" t="s">
        <v>44</v>
      </c>
      <c r="AC59" s="2" t="s">
        <v>47</v>
      </c>
      <c r="AD59" s="2">
        <v>1</v>
      </c>
      <c r="AE59" s="2" t="s">
        <v>49</v>
      </c>
      <c r="AF59" s="2" t="str">
        <f t="shared" si="0"/>
        <v>Normal</v>
      </c>
      <c r="AG59" s="5">
        <v>0</v>
      </c>
      <c r="AH59" s="5" t="str">
        <f>IF(AG59=0,"Normal",
IF(AND(T59="Yes",S59&gt;=2),"ALD",
IF(AND(T59="Yes",S59&gt;=2,O59&gt;N59),"ALD",
IF(AND(T59="No",S59&gt;=2),"ALD",
IF(AND(G59&gt;=25,OR(T59="No",AND(T59="Yes",S59&lt;1))),"NAFLD",
IF(AND(N59&gt;O59,N59&gt;40,S59&lt;1),"NAFLD",
IF(AND(T59="Yes",S59&lt;1,G59&gt;=25,N59&gt;O59),"NAFLD",
IF(OR(P59&gt;1.2,Q59&gt;0.3),"Hyperbilirubinemia",
"Others"))))))))</f>
        <v>Normal</v>
      </c>
      <c r="AI59" s="5" t="str">
        <f>IF(AG59=0,"Normal",
IF(AND(T59="Yes",S59&gt;=2),"ALD (Confirmed)",
IF(AND(T59="Yes",S59&gt;=2,O59&gt;N59),"ALD (Confirmed)",
IF(AND(T59="No",S59&gt;=2),"ALD (Probable)",
IF(AND(G59&gt;=25,OR(T59="No",AND(T59="Yes",S59&lt;1))),"NAFLD",
IF(AND(N59&gt;O59,N59&gt;40,S59&lt;1),"NAFLD",
IF(AND(T59="Yes",S59&lt;1,G59&gt;=25,N59&gt;O59),"NAFLD",
IF(OR(P59&gt;1.2,Q59&gt;0.3),"Hyperbilirubinemia",
"Others"))))))))</f>
        <v>Normal</v>
      </c>
      <c r="AJ59" s="5">
        <v>17</v>
      </c>
      <c r="AK59" s="5" t="s">
        <v>34</v>
      </c>
    </row>
    <row r="60" spans="1:37" ht="86.4" x14ac:dyDescent="0.3">
      <c r="A60" s="5">
        <v>63</v>
      </c>
      <c r="B60" s="5" t="s">
        <v>39</v>
      </c>
      <c r="C60" s="5">
        <v>44</v>
      </c>
      <c r="D60" s="2">
        <v>15</v>
      </c>
      <c r="E60" s="5">
        <v>169</v>
      </c>
      <c r="F60" s="5">
        <v>79</v>
      </c>
      <c r="G60" s="6">
        <v>27.66009593501628</v>
      </c>
      <c r="H60" s="9" t="s">
        <v>42</v>
      </c>
      <c r="I60" s="2">
        <v>36</v>
      </c>
      <c r="J60" s="5" t="s">
        <v>45</v>
      </c>
      <c r="K60" s="5" t="s">
        <v>44</v>
      </c>
      <c r="L60" s="5" t="s">
        <v>44</v>
      </c>
      <c r="M60" s="5" t="s">
        <v>44</v>
      </c>
      <c r="N60" s="5">
        <v>27.94</v>
      </c>
      <c r="O60" s="5">
        <v>43.14</v>
      </c>
      <c r="P60" s="5">
        <v>0.62</v>
      </c>
      <c r="Q60" s="5">
        <v>0.11</v>
      </c>
      <c r="R60" s="5">
        <v>0.51</v>
      </c>
      <c r="S60" s="8">
        <v>1.5440229062276305</v>
      </c>
      <c r="T60" s="5" t="s">
        <v>45</v>
      </c>
      <c r="U60" s="5" t="s">
        <v>55</v>
      </c>
      <c r="V60" s="5" t="s">
        <v>60</v>
      </c>
      <c r="W60" s="5" t="s">
        <v>65</v>
      </c>
      <c r="X60" s="5" t="s">
        <v>69</v>
      </c>
      <c r="Y60" s="5" t="s">
        <v>44</v>
      </c>
      <c r="Z60" s="5"/>
      <c r="AA60" s="5"/>
      <c r="AB60" s="9" t="s">
        <v>44</v>
      </c>
      <c r="AC60" s="2" t="s">
        <v>46</v>
      </c>
      <c r="AD60" s="2">
        <v>0</v>
      </c>
      <c r="AE60" s="2" t="s">
        <v>49</v>
      </c>
      <c r="AF60" s="2" t="str">
        <f t="shared" si="0"/>
        <v>Abnormal</v>
      </c>
      <c r="AG60" s="5">
        <v>1</v>
      </c>
      <c r="AH60" s="5" t="str">
        <f>IF(AG60=0,"Normal",
IF(AND(T60="Yes",S60&gt;=2),"ALD",
IF(AND(T60="Yes",S60&gt;=2,O60&gt;N60),"ALD",
IF(AND(T60="No",S60&gt;=2),"ALD",
IF(AND(G60&gt;=25,OR(T60="No",AND(T60="Yes",S60&lt;1))),"NAFLD",
IF(AND(N60&gt;O60,N60&gt;40,S60&lt;1),"NAFLD",
IF(AND(T60="Yes",S60&lt;1,G60&gt;=25,N60&gt;O60),"NAFLD",
IF(OR(P60&gt;1.2,Q60&gt;0.3),"Hyperbilirubinemia",
"Others"))))))))</f>
        <v>Others</v>
      </c>
      <c r="AI60" s="5" t="str">
        <f>IF(AG60=0,"Normal",
IF(AND(T60="Yes",S60&gt;=2),"ALD (Confirmed)",
IF(AND(T60="Yes",S60&gt;=2,O60&gt;N60),"ALD (Confirmed)",
IF(AND(T60="No",S60&gt;=2),"ALD (Probable)",
IF(AND(G60&gt;=25,OR(T60="No",AND(T60="Yes",S60&lt;1))),"NAFLD",
IF(AND(N60&gt;O60,N60&gt;40,S60&lt;1),"NAFLD",
IF(AND(T60="Yes",S60&lt;1,G60&gt;=25,N60&gt;O60),"NAFLD",
IF(OR(P60&gt;1.2,Q60&gt;0.3),"Hyperbilirubinemia",
"Others"))))))))</f>
        <v>Others</v>
      </c>
      <c r="AJ60" s="5">
        <v>33</v>
      </c>
      <c r="AK60" s="5" t="s">
        <v>35</v>
      </c>
    </row>
    <row r="61" spans="1:37" ht="43.2" x14ac:dyDescent="0.3">
      <c r="A61" s="5">
        <v>64</v>
      </c>
      <c r="B61" s="5" t="s">
        <v>39</v>
      </c>
      <c r="C61" s="5">
        <v>35</v>
      </c>
      <c r="D61" s="2">
        <v>11</v>
      </c>
      <c r="E61" s="5">
        <v>170</v>
      </c>
      <c r="F61" s="5">
        <v>69</v>
      </c>
      <c r="G61" s="6">
        <v>23.875432525951556</v>
      </c>
      <c r="H61" s="9" t="s">
        <v>33</v>
      </c>
      <c r="I61" s="2">
        <v>32</v>
      </c>
      <c r="J61" s="5" t="s">
        <v>44</v>
      </c>
      <c r="K61" s="5" t="s">
        <v>44</v>
      </c>
      <c r="L61" s="5" t="s">
        <v>44</v>
      </c>
      <c r="M61" s="5" t="s">
        <v>45</v>
      </c>
      <c r="N61" s="5">
        <v>41.1</v>
      </c>
      <c r="O61" s="5">
        <v>69</v>
      </c>
      <c r="P61" s="5">
        <v>0.34</v>
      </c>
      <c r="Q61" s="5">
        <v>0.12</v>
      </c>
      <c r="R61" s="5">
        <v>0.22</v>
      </c>
      <c r="S61" s="8">
        <v>1.6788321167883211</v>
      </c>
      <c r="T61" s="5" t="s">
        <v>44</v>
      </c>
      <c r="U61" s="5"/>
      <c r="V61" s="5"/>
      <c r="W61" s="5"/>
      <c r="X61" s="5"/>
      <c r="Y61" s="5" t="s">
        <v>44</v>
      </c>
      <c r="Z61" s="5"/>
      <c r="AA61" s="5"/>
      <c r="AB61" s="9" t="s">
        <v>44</v>
      </c>
      <c r="AC61" s="2" t="s">
        <v>46</v>
      </c>
      <c r="AD61" s="2">
        <v>1</v>
      </c>
      <c r="AE61" s="2" t="s">
        <v>52</v>
      </c>
      <c r="AF61" s="2" t="str">
        <f t="shared" si="0"/>
        <v>Abnormal</v>
      </c>
      <c r="AG61" s="5">
        <v>1</v>
      </c>
      <c r="AH61" s="5" t="str">
        <f>IF(AG61=0,"Normal",
IF(AND(T61="Yes",S61&gt;=2),"ALD",
IF(AND(T61="Yes",S61&gt;=2,O61&gt;N61),"ALD",
IF(AND(T61="No",S61&gt;=2),"ALD",
IF(AND(G61&gt;=25,OR(T61="No",AND(T61="Yes",S61&lt;1))),"NAFLD",
IF(AND(N61&gt;O61,N61&gt;40,S61&lt;1),"NAFLD",
IF(AND(T61="Yes",S61&lt;1,G61&gt;=25,N61&gt;O61),"NAFLD",
IF(OR(P61&gt;1.2,Q61&gt;0.3),"Hyperbilirubinemia",
"Others"))))))))</f>
        <v>Others</v>
      </c>
      <c r="AI61" s="5" t="str">
        <f>IF(AG61=0,"Normal",
IF(AND(T61="Yes",S61&gt;=2),"ALD (Confirmed)",
IF(AND(T61="Yes",S61&gt;=2,O61&gt;N61),"ALD (Confirmed)",
IF(AND(T61="No",S61&gt;=2),"ALD (Probable)",
IF(AND(G61&gt;=25,OR(T61="No",AND(T61="Yes",S61&lt;1))),"NAFLD",
IF(AND(N61&gt;O61,N61&gt;40,S61&lt;1),"NAFLD",
IF(AND(T61="Yes",S61&lt;1,G61&gt;=25,N61&gt;O61),"NAFLD",
IF(OR(P61&gt;1.2,Q61&gt;0.3),"Hyperbilirubinemia",
"Others"))))))))</f>
        <v>Others</v>
      </c>
      <c r="AJ61" s="5">
        <v>19</v>
      </c>
      <c r="AK61" s="5" t="s">
        <v>34</v>
      </c>
    </row>
    <row r="62" spans="1:37" ht="43.2" x14ac:dyDescent="0.3">
      <c r="A62" s="5">
        <v>65</v>
      </c>
      <c r="B62" s="5" t="s">
        <v>39</v>
      </c>
      <c r="C62" s="5">
        <v>32</v>
      </c>
      <c r="D62" s="2">
        <v>7</v>
      </c>
      <c r="E62" s="5">
        <v>168</v>
      </c>
      <c r="F62" s="5">
        <v>80</v>
      </c>
      <c r="G62" s="6">
        <v>28.344671201814059</v>
      </c>
      <c r="H62" s="9" t="s">
        <v>42</v>
      </c>
      <c r="I62" s="2">
        <v>34</v>
      </c>
      <c r="J62" s="5" t="s">
        <v>44</v>
      </c>
      <c r="K62" s="5" t="s">
        <v>44</v>
      </c>
      <c r="L62" s="5" t="s">
        <v>44</v>
      </c>
      <c r="M62" s="5" t="s">
        <v>44</v>
      </c>
      <c r="N62" s="5">
        <v>38.200000000000003</v>
      </c>
      <c r="O62" s="5">
        <v>42.9</v>
      </c>
      <c r="P62" s="5">
        <v>0.46</v>
      </c>
      <c r="Q62" s="5">
        <v>0.05</v>
      </c>
      <c r="R62" s="5">
        <v>0.41</v>
      </c>
      <c r="S62" s="8">
        <v>1.1230366492146595</v>
      </c>
      <c r="T62" s="5" t="s">
        <v>45</v>
      </c>
      <c r="U62" s="5" t="s">
        <v>57</v>
      </c>
      <c r="V62" s="5" t="s">
        <v>61</v>
      </c>
      <c r="W62" s="5" t="s">
        <v>65</v>
      </c>
      <c r="X62" s="5" t="s">
        <v>67</v>
      </c>
      <c r="Y62" s="5" t="s">
        <v>45</v>
      </c>
      <c r="Z62" s="5"/>
      <c r="AA62" s="5" t="s">
        <v>81</v>
      </c>
      <c r="AB62" s="9" t="s">
        <v>44</v>
      </c>
      <c r="AC62" s="2" t="s">
        <v>47</v>
      </c>
      <c r="AD62" s="2">
        <v>0</v>
      </c>
      <c r="AE62" s="2" t="s">
        <v>48</v>
      </c>
      <c r="AF62" s="2" t="str">
        <f t="shared" si="0"/>
        <v>Abnormal</v>
      </c>
      <c r="AG62" s="5">
        <v>1</v>
      </c>
      <c r="AH62" s="5" t="str">
        <f>IF(AG62=0,"Normal",
IF(AND(T62="Yes",S62&gt;=2),"ALD",
IF(AND(T62="Yes",S62&gt;=2,O62&gt;N62),"ALD",
IF(AND(T62="No",S62&gt;=2),"ALD",
IF(AND(G62&gt;=25,OR(T62="No",AND(T62="Yes",S62&lt;1))),"NAFLD",
IF(AND(N62&gt;O62,N62&gt;40,S62&lt;1),"NAFLD",
IF(AND(T62="Yes",S62&lt;1,G62&gt;=25,N62&gt;O62),"NAFLD",
IF(OR(P62&gt;1.2,Q62&gt;0.3),"Hyperbilirubinemia",
"Others"))))))))</f>
        <v>Others</v>
      </c>
      <c r="AI62" s="5" t="str">
        <f>IF(AG62=0,"Normal",
IF(AND(T62="Yes",S62&gt;=2),"ALD (Confirmed)",
IF(AND(T62="Yes",S62&gt;=2,O62&gt;N62),"ALD (Confirmed)",
IF(AND(T62="No",S62&gt;=2),"ALD (Probable)",
IF(AND(G62&gt;=25,OR(T62="No",AND(T62="Yes",S62&lt;1))),"NAFLD",
IF(AND(N62&gt;O62,N62&gt;40,S62&lt;1),"NAFLD",
IF(AND(T62="Yes",S62&lt;1,G62&gt;=25,N62&gt;O62),"NAFLD",
IF(OR(P62&gt;1.2,Q62&gt;0.3),"Hyperbilirubinemia",
"Others"))))))))</f>
        <v>Others</v>
      </c>
      <c r="AJ62" s="5">
        <v>26</v>
      </c>
      <c r="AK62" s="5" t="s">
        <v>35</v>
      </c>
    </row>
    <row r="63" spans="1:37" ht="43.2" x14ac:dyDescent="0.3">
      <c r="A63" s="5">
        <v>66</v>
      </c>
      <c r="B63" s="5" t="s">
        <v>39</v>
      </c>
      <c r="C63" s="5">
        <v>37</v>
      </c>
      <c r="D63" s="2">
        <v>16</v>
      </c>
      <c r="E63" s="5">
        <v>159</v>
      </c>
      <c r="F63" s="5">
        <v>56</v>
      </c>
      <c r="G63" s="6">
        <v>22.151022507021086</v>
      </c>
      <c r="H63" s="9" t="s">
        <v>33</v>
      </c>
      <c r="I63" s="2">
        <v>28</v>
      </c>
      <c r="J63" s="5" t="s">
        <v>44</v>
      </c>
      <c r="K63" s="5" t="s">
        <v>44</v>
      </c>
      <c r="L63" s="5" t="s">
        <v>44</v>
      </c>
      <c r="M63" s="5" t="s">
        <v>44</v>
      </c>
      <c r="N63" s="5">
        <v>42.52</v>
      </c>
      <c r="O63" s="5">
        <v>87.76</v>
      </c>
      <c r="P63" s="5">
        <v>0.11</v>
      </c>
      <c r="Q63" s="5">
        <v>0.05</v>
      </c>
      <c r="R63" s="5">
        <v>0.06</v>
      </c>
      <c r="S63" s="8">
        <v>2.0639698965192852</v>
      </c>
      <c r="T63" s="5" t="s">
        <v>44</v>
      </c>
      <c r="U63" s="5"/>
      <c r="V63" s="5"/>
      <c r="W63" s="5"/>
      <c r="X63" s="5"/>
      <c r="Y63" s="5" t="s">
        <v>44</v>
      </c>
      <c r="Z63" s="5"/>
      <c r="AA63" s="5"/>
      <c r="AB63" s="9" t="s">
        <v>44</v>
      </c>
      <c r="AC63" s="2" t="s">
        <v>46</v>
      </c>
      <c r="AD63" s="2">
        <v>1</v>
      </c>
      <c r="AE63" s="2" t="s">
        <v>49</v>
      </c>
      <c r="AF63" s="2" t="str">
        <f t="shared" si="0"/>
        <v>Abnormal</v>
      </c>
      <c r="AG63" s="5">
        <v>1</v>
      </c>
      <c r="AH63" s="5" t="str">
        <f>IF(AG63=0,"Normal",
IF(AND(T63="Yes",S63&gt;=2),"ALD",
IF(AND(T63="Yes",S63&gt;=2,O63&gt;N63),"ALD",
IF(AND(T63="No",S63&gt;=2),"ALD",
IF(AND(G63&gt;=25,OR(T63="No",AND(T63="Yes",S63&lt;1))),"NAFLD",
IF(AND(N63&gt;O63,N63&gt;40,S63&lt;1),"NAFLD",
IF(AND(T63="Yes",S63&lt;1,G63&gt;=25,N63&gt;O63),"NAFLD",
IF(OR(P63&gt;1.2,Q63&gt;0.3),"Hyperbilirubinemia",
"Others"))))))))</f>
        <v>ALD</v>
      </c>
      <c r="AI63" s="5" t="str">
        <f>IF(AG63=0,"Normal",
IF(AND(T63="Yes",S63&gt;=2),"ALD (Confirmed)",
IF(AND(T63="Yes",S63&gt;=2,O63&gt;N63),"ALD (Confirmed)",
IF(AND(T63="No",S63&gt;=2),"ALD (Probable)",
IF(AND(G63&gt;=25,OR(T63="No",AND(T63="Yes",S63&lt;1))),"NAFLD",
IF(AND(N63&gt;O63,N63&gt;40,S63&lt;1),"NAFLD",
IF(AND(T63="Yes",S63&lt;1,G63&gt;=25,N63&gt;O63),"NAFLD",
IF(OR(P63&gt;1.2,Q63&gt;0.3),"Hyperbilirubinemia",
"Others"))))))))</f>
        <v>ALD (Probable)</v>
      </c>
      <c r="AJ63" s="5">
        <v>18</v>
      </c>
      <c r="AK63" s="5" t="s">
        <v>34</v>
      </c>
    </row>
    <row r="64" spans="1:37" ht="28.8" x14ac:dyDescent="0.3">
      <c r="A64" s="5">
        <v>67</v>
      </c>
      <c r="B64" s="5" t="s">
        <v>39</v>
      </c>
      <c r="C64" s="5">
        <v>38</v>
      </c>
      <c r="D64" s="2">
        <v>10</v>
      </c>
      <c r="E64" s="5">
        <v>162</v>
      </c>
      <c r="F64" s="5">
        <v>60</v>
      </c>
      <c r="G64" s="6">
        <v>22.862368541380889</v>
      </c>
      <c r="H64" s="9" t="s">
        <v>33</v>
      </c>
      <c r="I64" s="2">
        <v>32</v>
      </c>
      <c r="J64" s="5" t="s">
        <v>44</v>
      </c>
      <c r="K64" s="5" t="s">
        <v>44</v>
      </c>
      <c r="L64" s="5" t="s">
        <v>44</v>
      </c>
      <c r="M64" s="5" t="s">
        <v>44</v>
      </c>
      <c r="N64" s="5">
        <v>21.85</v>
      </c>
      <c r="O64" s="5">
        <v>34.4</v>
      </c>
      <c r="P64" s="5">
        <v>0.38</v>
      </c>
      <c r="Q64" s="5">
        <v>7.0000000000000007E-2</v>
      </c>
      <c r="R64" s="5">
        <v>0.31</v>
      </c>
      <c r="S64" s="8">
        <v>1.5743707093821508</v>
      </c>
      <c r="T64" s="5" t="s">
        <v>44</v>
      </c>
      <c r="U64" s="5"/>
      <c r="V64" s="5"/>
      <c r="W64" s="5"/>
      <c r="X64" s="5"/>
      <c r="Y64" s="5" t="s">
        <v>44</v>
      </c>
      <c r="Z64" s="5"/>
      <c r="AA64" s="5"/>
      <c r="AB64" s="9" t="s">
        <v>44</v>
      </c>
      <c r="AC64" s="2" t="s">
        <v>47</v>
      </c>
      <c r="AD64" s="2">
        <v>0</v>
      </c>
      <c r="AE64" s="2" t="s">
        <v>49</v>
      </c>
      <c r="AF64" s="2" t="str">
        <f t="shared" si="0"/>
        <v>Normal</v>
      </c>
      <c r="AG64" s="5">
        <v>0</v>
      </c>
      <c r="AH64" s="5" t="str">
        <f>IF(AG64=0,"Normal",
IF(AND(T64="Yes",S64&gt;=2),"ALD",
IF(AND(T64="Yes",S64&gt;=2,O64&gt;N64),"ALD",
IF(AND(T64="No",S64&gt;=2),"ALD",
IF(AND(G64&gt;=25,OR(T64="No",AND(T64="Yes",S64&lt;1))),"NAFLD",
IF(AND(N64&gt;O64,N64&gt;40,S64&lt;1),"NAFLD",
IF(AND(T64="Yes",S64&lt;1,G64&gt;=25,N64&gt;O64),"NAFLD",
IF(OR(P64&gt;1.2,Q64&gt;0.3),"Hyperbilirubinemia",
"Others"))))))))</f>
        <v>Normal</v>
      </c>
      <c r="AI64" s="5" t="str">
        <f>IF(AG64=0,"Normal",
IF(AND(T64="Yes",S64&gt;=2),"ALD (Confirmed)",
IF(AND(T64="Yes",S64&gt;=2,O64&gt;N64),"ALD (Confirmed)",
IF(AND(T64="No",S64&gt;=2),"ALD (Probable)",
IF(AND(G64&gt;=25,OR(T64="No",AND(T64="Yes",S64&lt;1))),"NAFLD",
IF(AND(N64&gt;O64,N64&gt;40,S64&lt;1),"NAFLD",
IF(AND(T64="Yes",S64&lt;1,G64&gt;=25,N64&gt;O64),"NAFLD",
IF(OR(P64&gt;1.2,Q64&gt;0.3),"Hyperbilirubinemia",
"Others"))))))))</f>
        <v>Normal</v>
      </c>
      <c r="AJ64" s="5">
        <v>5</v>
      </c>
      <c r="AK64" s="5" t="s">
        <v>34</v>
      </c>
    </row>
    <row r="65" spans="1:37" ht="43.2" x14ac:dyDescent="0.3">
      <c r="A65" s="5">
        <v>68</v>
      </c>
      <c r="B65" s="5" t="s">
        <v>39</v>
      </c>
      <c r="C65" s="5">
        <v>56</v>
      </c>
      <c r="D65" s="2">
        <v>34</v>
      </c>
      <c r="E65" s="5">
        <v>165</v>
      </c>
      <c r="F65" s="5">
        <v>53</v>
      </c>
      <c r="G65" s="6">
        <v>19.467401285583104</v>
      </c>
      <c r="H65" s="9" t="s">
        <v>33</v>
      </c>
      <c r="I65" s="2">
        <v>34</v>
      </c>
      <c r="J65" s="5" t="s">
        <v>45</v>
      </c>
      <c r="K65" s="5" t="s">
        <v>44</v>
      </c>
      <c r="L65" s="5" t="s">
        <v>44</v>
      </c>
      <c r="M65" s="5" t="s">
        <v>44</v>
      </c>
      <c r="N65" s="5">
        <v>20.5</v>
      </c>
      <c r="O65" s="5">
        <v>38.6</v>
      </c>
      <c r="P65" s="5">
        <v>0.55000000000000004</v>
      </c>
      <c r="Q65" s="5">
        <v>0.05</v>
      </c>
      <c r="R65" s="5">
        <v>0.5</v>
      </c>
      <c r="S65" s="8">
        <v>1.8829268292682928</v>
      </c>
      <c r="T65" s="5" t="s">
        <v>44</v>
      </c>
      <c r="U65" s="5"/>
      <c r="V65" s="5"/>
      <c r="W65" s="5"/>
      <c r="X65" s="5"/>
      <c r="Y65" s="5" t="s">
        <v>44</v>
      </c>
      <c r="Z65" s="5"/>
      <c r="AA65" s="5"/>
      <c r="AB65" s="9" t="s">
        <v>44</v>
      </c>
      <c r="AC65" s="2" t="s">
        <v>46</v>
      </c>
      <c r="AD65" s="2">
        <v>1</v>
      </c>
      <c r="AE65" s="2" t="s">
        <v>49</v>
      </c>
      <c r="AF65" s="2" t="str">
        <f t="shared" si="0"/>
        <v>Normal</v>
      </c>
      <c r="AG65" s="5">
        <v>0</v>
      </c>
      <c r="AH65" s="5" t="str">
        <f>IF(AG65=0,"Normal",
IF(AND(T65="Yes",S65&gt;=2),"ALD",
IF(AND(T65="Yes",S65&gt;=2,O65&gt;N65),"ALD",
IF(AND(T65="No",S65&gt;=2),"ALD",
IF(AND(G65&gt;=25,OR(T65="No",AND(T65="Yes",S65&lt;1))),"NAFLD",
IF(AND(N65&gt;O65,N65&gt;40,S65&lt;1),"NAFLD",
IF(AND(T65="Yes",S65&lt;1,G65&gt;=25,N65&gt;O65),"NAFLD",
IF(OR(P65&gt;1.2,Q65&gt;0.3),"Hyperbilirubinemia",
"Others"))))))))</f>
        <v>Normal</v>
      </c>
      <c r="AI65" s="5" t="str">
        <f>IF(AG65=0,"Normal",
IF(AND(T65="Yes",S65&gt;=2),"ALD (Confirmed)",
IF(AND(T65="Yes",S65&gt;=2,O65&gt;N65),"ALD (Confirmed)",
IF(AND(T65="No",S65&gt;=2),"ALD (Probable)",
IF(AND(G65&gt;=25,OR(T65="No",AND(T65="Yes",S65&lt;1))),"NAFLD",
IF(AND(N65&gt;O65,N65&gt;40,S65&lt;1),"NAFLD",
IF(AND(T65="Yes",S65&lt;1,G65&gt;=25,N65&gt;O65),"NAFLD",
IF(OR(P65&gt;1.2,Q65&gt;0.3),"Hyperbilirubinemia",
"Others"))))))))</f>
        <v>Normal</v>
      </c>
      <c r="AJ65" s="5">
        <v>16</v>
      </c>
      <c r="AK65" s="5" t="s">
        <v>34</v>
      </c>
    </row>
    <row r="66" spans="1:37" ht="43.2" x14ac:dyDescent="0.3">
      <c r="A66" s="5">
        <v>69</v>
      </c>
      <c r="B66" s="5" t="s">
        <v>39</v>
      </c>
      <c r="C66" s="5">
        <v>40</v>
      </c>
      <c r="D66" s="2">
        <v>25</v>
      </c>
      <c r="E66" s="5">
        <v>160</v>
      </c>
      <c r="F66" s="5">
        <v>70</v>
      </c>
      <c r="G66" s="6">
        <v>27.34375</v>
      </c>
      <c r="H66" s="9" t="s">
        <v>42</v>
      </c>
      <c r="I66" s="2">
        <v>32</v>
      </c>
      <c r="J66" s="5" t="s">
        <v>44</v>
      </c>
      <c r="K66" s="5" t="s">
        <v>44</v>
      </c>
      <c r="L66" s="5" t="s">
        <v>44</v>
      </c>
      <c r="M66" s="5" t="s">
        <v>44</v>
      </c>
      <c r="N66" s="5">
        <v>35.200000000000003</v>
      </c>
      <c r="O66" s="5">
        <v>48.6</v>
      </c>
      <c r="P66" s="5">
        <v>0.81</v>
      </c>
      <c r="Q66" s="5">
        <v>0.16</v>
      </c>
      <c r="R66" s="5">
        <v>0.65</v>
      </c>
      <c r="S66" s="8">
        <v>1.3806818181818181</v>
      </c>
      <c r="T66" s="5" t="s">
        <v>44</v>
      </c>
      <c r="U66" s="5"/>
      <c r="V66" s="5"/>
      <c r="W66" s="5"/>
      <c r="X66" s="5"/>
      <c r="Y66" s="5" t="s">
        <v>44</v>
      </c>
      <c r="Z66" s="5"/>
      <c r="AA66" s="5"/>
      <c r="AB66" s="9" t="s">
        <v>45</v>
      </c>
      <c r="AC66" s="2" t="s">
        <v>46</v>
      </c>
      <c r="AD66" s="2">
        <v>0</v>
      </c>
      <c r="AE66" s="2" t="s">
        <v>49</v>
      </c>
      <c r="AF66" s="2" t="str">
        <f t="shared" si="0"/>
        <v>Abnormal</v>
      </c>
      <c r="AG66" s="5">
        <v>1</v>
      </c>
      <c r="AH66" s="5" t="str">
        <f>IF(AG66=0,"Normal",
IF(AND(T66="Yes",S66&gt;=2),"ALD",
IF(AND(T66="Yes",S66&gt;=2,O66&gt;N66),"ALD",
IF(AND(T66="No",S66&gt;=2),"ALD",
IF(AND(G66&gt;=25,OR(T66="No",AND(T66="Yes",S66&lt;1))),"NAFLD",
IF(AND(N66&gt;O66,N66&gt;40,S66&lt;1),"NAFLD",
IF(AND(T66="Yes",S66&lt;1,G66&gt;=25,N66&gt;O66),"NAFLD",
IF(OR(P66&gt;1.2,Q66&gt;0.3),"Hyperbilirubinemia",
"Others"))))))))</f>
        <v>NAFLD</v>
      </c>
      <c r="AI66" s="5" t="str">
        <f>IF(AG66=0,"Normal",
IF(AND(T66="Yes",S66&gt;=2),"ALD (Confirmed)",
IF(AND(T66="Yes",S66&gt;=2,O66&gt;N66),"ALD (Confirmed)",
IF(AND(T66="No",S66&gt;=2),"ALD (Probable)",
IF(AND(G66&gt;=25,OR(T66="No",AND(T66="Yes",S66&lt;1))),"NAFLD",
IF(AND(N66&gt;O66,N66&gt;40,S66&lt;1),"NAFLD",
IF(AND(T66="Yes",S66&lt;1,G66&gt;=25,N66&gt;O66),"NAFLD",
IF(OR(P66&gt;1.2,Q66&gt;0.3),"Hyperbilirubinemia",
"Others"))))))))</f>
        <v>NAFLD</v>
      </c>
      <c r="AJ66" s="5">
        <v>15</v>
      </c>
      <c r="AK66" s="5" t="s">
        <v>34</v>
      </c>
    </row>
    <row r="67" spans="1:37" ht="43.2" x14ac:dyDescent="0.3">
      <c r="A67" s="5">
        <v>70</v>
      </c>
      <c r="B67" s="5" t="s">
        <v>39</v>
      </c>
      <c r="C67" s="5">
        <v>51</v>
      </c>
      <c r="D67" s="2">
        <v>23</v>
      </c>
      <c r="E67" s="5">
        <v>165</v>
      </c>
      <c r="F67" s="5">
        <v>81</v>
      </c>
      <c r="G67" s="6">
        <v>29.752066115702476</v>
      </c>
      <c r="H67" s="9" t="s">
        <v>42</v>
      </c>
      <c r="I67" s="2">
        <v>40</v>
      </c>
      <c r="J67" s="5" t="s">
        <v>44</v>
      </c>
      <c r="K67" s="5" t="s">
        <v>44</v>
      </c>
      <c r="L67" s="5" t="s">
        <v>44</v>
      </c>
      <c r="M67" s="5" t="s">
        <v>44</v>
      </c>
      <c r="N67" s="5">
        <v>42.5</v>
      </c>
      <c r="O67" s="5">
        <v>39.200000000000003</v>
      </c>
      <c r="P67" s="5">
        <v>0.33</v>
      </c>
      <c r="Q67" s="5">
        <v>0.12</v>
      </c>
      <c r="R67" s="5">
        <v>0.21</v>
      </c>
      <c r="S67" s="8">
        <v>0.92235294117647071</v>
      </c>
      <c r="T67" s="5" t="s">
        <v>44</v>
      </c>
      <c r="U67" s="5"/>
      <c r="V67" s="5"/>
      <c r="W67" s="5"/>
      <c r="X67" s="5"/>
      <c r="Y67" s="5" t="s">
        <v>44</v>
      </c>
      <c r="Z67" s="5"/>
      <c r="AA67" s="5"/>
      <c r="AB67" s="9" t="s">
        <v>44</v>
      </c>
      <c r="AC67" s="2" t="s">
        <v>46</v>
      </c>
      <c r="AD67" s="2">
        <v>0</v>
      </c>
      <c r="AE67" s="2" t="s">
        <v>48</v>
      </c>
      <c r="AF67" s="2" t="str">
        <f t="shared" ref="AF67:AF130" si="1">IF(AG67=0,"Normal",IF(AG67=1,"Abnormal",""))</f>
        <v>Normal</v>
      </c>
      <c r="AG67" s="5">
        <v>0</v>
      </c>
      <c r="AH67" s="5" t="str">
        <f>IF(AG67=0,"Normal",
IF(AND(T67="Yes",S67&gt;=2),"ALD",
IF(AND(T67="Yes",S67&gt;=2,O67&gt;N67),"ALD",
IF(AND(T67="No",S67&gt;=2),"ALD",
IF(AND(G67&gt;=25,OR(T67="No",AND(T67="Yes",S67&lt;1))),"NAFLD",
IF(AND(N67&gt;O67,N67&gt;40,S67&lt;1),"NAFLD",
IF(AND(T67="Yes",S67&lt;1,G67&gt;=25,N67&gt;O67),"NAFLD",
IF(OR(P67&gt;1.2,Q67&gt;0.3),"Hyperbilirubinemia",
"Others"))))))))</f>
        <v>Normal</v>
      </c>
      <c r="AI67" s="5" t="str">
        <f>IF(AG67=0,"Normal",
IF(AND(T67="Yes",S67&gt;=2),"ALD (Confirmed)",
IF(AND(T67="Yes",S67&gt;=2,O67&gt;N67),"ALD (Confirmed)",
IF(AND(T67="No",S67&gt;=2),"ALD (Probable)",
IF(AND(G67&gt;=25,OR(T67="No",AND(T67="Yes",S67&lt;1))),"NAFLD",
IF(AND(N67&gt;O67,N67&gt;40,S67&lt;1),"NAFLD",
IF(AND(T67="Yes",S67&lt;1,G67&gt;=25,N67&gt;O67),"NAFLD",
IF(OR(P67&gt;1.2,Q67&gt;0.3),"Hyperbilirubinemia",
"Others"))))))))</f>
        <v>Normal</v>
      </c>
      <c r="AJ67" s="5">
        <v>19</v>
      </c>
      <c r="AK67" s="5" t="s">
        <v>34</v>
      </c>
    </row>
    <row r="68" spans="1:37" ht="28.8" x14ac:dyDescent="0.3">
      <c r="A68" s="5">
        <v>71</v>
      </c>
      <c r="B68" s="5" t="s">
        <v>39</v>
      </c>
      <c r="C68" s="5">
        <v>48</v>
      </c>
      <c r="D68" s="2">
        <v>20</v>
      </c>
      <c r="E68" s="5">
        <v>166</v>
      </c>
      <c r="F68" s="5">
        <v>66</v>
      </c>
      <c r="G68" s="6">
        <v>23.951226593119465</v>
      </c>
      <c r="H68" s="9" t="s">
        <v>33</v>
      </c>
      <c r="I68" s="2">
        <v>32</v>
      </c>
      <c r="J68" s="5" t="s">
        <v>44</v>
      </c>
      <c r="K68" s="5" t="s">
        <v>44</v>
      </c>
      <c r="L68" s="5" t="s">
        <v>44</v>
      </c>
      <c r="M68" s="5" t="s">
        <v>44</v>
      </c>
      <c r="N68" s="5">
        <v>53.6</v>
      </c>
      <c r="O68" s="5">
        <v>37.200000000000003</v>
      </c>
      <c r="P68" s="5">
        <v>0.3</v>
      </c>
      <c r="Q68" s="5">
        <v>7.0000000000000007E-2</v>
      </c>
      <c r="R68" s="5">
        <v>0.23</v>
      </c>
      <c r="S68" s="8">
        <v>0.69402985074626866</v>
      </c>
      <c r="T68" s="5" t="s">
        <v>45</v>
      </c>
      <c r="U68" s="5" t="s">
        <v>56</v>
      </c>
      <c r="V68" s="5" t="s">
        <v>59</v>
      </c>
      <c r="W68" s="5" t="s">
        <v>65</v>
      </c>
      <c r="X68" s="5" t="s">
        <v>68</v>
      </c>
      <c r="Y68" s="5" t="s">
        <v>44</v>
      </c>
      <c r="Z68" s="5"/>
      <c r="AA68" s="5"/>
      <c r="AB68" s="9" t="s">
        <v>44</v>
      </c>
      <c r="AC68" s="2" t="s">
        <v>47</v>
      </c>
      <c r="AD68" s="2">
        <v>0</v>
      </c>
      <c r="AE68" s="2" t="s">
        <v>52</v>
      </c>
      <c r="AF68" s="2" t="str">
        <f t="shared" si="1"/>
        <v>Normal</v>
      </c>
      <c r="AG68" s="5">
        <v>0</v>
      </c>
      <c r="AH68" s="5" t="str">
        <f>IF(AG68=0,"Normal",
IF(AND(T68="Yes",S68&gt;=2),"ALD",
IF(AND(T68="Yes",S68&gt;=2,O68&gt;N68),"ALD",
IF(AND(T68="No",S68&gt;=2),"ALD",
IF(AND(G68&gt;=25,OR(T68="No",AND(T68="Yes",S68&lt;1))),"NAFLD",
IF(AND(N68&gt;O68,N68&gt;40,S68&lt;1),"NAFLD",
IF(AND(T68="Yes",S68&lt;1,G68&gt;=25,N68&gt;O68),"NAFLD",
IF(OR(P68&gt;1.2,Q68&gt;0.3),"Hyperbilirubinemia",
"Others"))))))))</f>
        <v>Normal</v>
      </c>
      <c r="AI68" s="5" t="str">
        <f>IF(AG68=0,"Normal",
IF(AND(T68="Yes",S68&gt;=2),"ALD (Confirmed)",
IF(AND(T68="Yes",S68&gt;=2,O68&gt;N68),"ALD (Confirmed)",
IF(AND(T68="No",S68&gt;=2),"ALD (Probable)",
IF(AND(G68&gt;=25,OR(T68="No",AND(T68="Yes",S68&lt;1))),"NAFLD",
IF(AND(N68&gt;O68,N68&gt;40,S68&lt;1),"NAFLD",
IF(AND(T68="Yes",S68&lt;1,G68&gt;=25,N68&gt;O68),"NAFLD",
IF(OR(P68&gt;1.2,Q68&gt;0.3),"Hyperbilirubinemia",
"Others"))))))))</f>
        <v>Normal</v>
      </c>
      <c r="AJ68" s="5">
        <v>22</v>
      </c>
      <c r="AK68" s="5" t="s">
        <v>35</v>
      </c>
    </row>
    <row r="69" spans="1:37" ht="28.8" x14ac:dyDescent="0.3">
      <c r="A69" s="5">
        <v>72</v>
      </c>
      <c r="B69" s="5" t="s">
        <v>39</v>
      </c>
      <c r="C69" s="5">
        <v>39</v>
      </c>
      <c r="D69" s="2">
        <v>15</v>
      </c>
      <c r="E69" s="5">
        <v>180</v>
      </c>
      <c r="F69" s="5">
        <v>93</v>
      </c>
      <c r="G69" s="6">
        <v>28.703703703703702</v>
      </c>
      <c r="H69" s="9" t="s">
        <v>42</v>
      </c>
      <c r="I69" s="2">
        <v>38</v>
      </c>
      <c r="J69" s="5" t="s">
        <v>44</v>
      </c>
      <c r="K69" s="5" t="s">
        <v>44</v>
      </c>
      <c r="L69" s="5" t="s">
        <v>44</v>
      </c>
      <c r="M69" s="5" t="s">
        <v>45</v>
      </c>
      <c r="N69" s="5">
        <v>50.3</v>
      </c>
      <c r="O69" s="5">
        <v>39.799999999999997</v>
      </c>
      <c r="P69" s="5">
        <v>0.52</v>
      </c>
      <c r="Q69" s="5">
        <v>0.08</v>
      </c>
      <c r="R69" s="5">
        <v>0.44</v>
      </c>
      <c r="S69" s="8">
        <v>0.79125248508946322</v>
      </c>
      <c r="T69" s="5" t="s">
        <v>44</v>
      </c>
      <c r="U69" s="5"/>
      <c r="V69" s="5"/>
      <c r="W69" s="5"/>
      <c r="X69" s="5"/>
      <c r="Y69" s="5" t="s">
        <v>44</v>
      </c>
      <c r="Z69" s="5"/>
      <c r="AA69" s="5"/>
      <c r="AB69" s="9" t="s">
        <v>44</v>
      </c>
      <c r="AC69" s="2" t="s">
        <v>47</v>
      </c>
      <c r="AD69" s="2">
        <v>0</v>
      </c>
      <c r="AE69" s="2" t="s">
        <v>49</v>
      </c>
      <c r="AF69" s="2" t="str">
        <f t="shared" si="1"/>
        <v>Normal</v>
      </c>
      <c r="AG69" s="5">
        <v>0</v>
      </c>
      <c r="AH69" s="5" t="str">
        <f>IF(AG69=0,"Normal",
IF(AND(T69="Yes",S69&gt;=2),"ALD",
IF(AND(T69="Yes",S69&gt;=2,O69&gt;N69),"ALD",
IF(AND(T69="No",S69&gt;=2),"ALD",
IF(AND(G69&gt;=25,OR(T69="No",AND(T69="Yes",S69&lt;1))),"NAFLD",
IF(AND(N69&gt;O69,N69&gt;40,S69&lt;1),"NAFLD",
IF(AND(T69="Yes",S69&lt;1,G69&gt;=25,N69&gt;O69),"NAFLD",
IF(OR(P69&gt;1.2,Q69&gt;0.3),"Hyperbilirubinemia",
"Others"))))))))</f>
        <v>Normal</v>
      </c>
      <c r="AI69" s="5" t="str">
        <f>IF(AG69=0,"Normal",
IF(AND(T69="Yes",S69&gt;=2),"ALD (Confirmed)",
IF(AND(T69="Yes",S69&gt;=2,O69&gt;N69),"ALD (Confirmed)",
IF(AND(T69="No",S69&gt;=2),"ALD (Probable)",
IF(AND(G69&gt;=25,OR(T69="No",AND(T69="Yes",S69&lt;1))),"NAFLD",
IF(AND(N69&gt;O69,N69&gt;40,S69&lt;1),"NAFLD",
IF(AND(T69="Yes",S69&lt;1,G69&gt;=25,N69&gt;O69),"NAFLD",
IF(OR(P69&gt;1.2,Q69&gt;0.3),"Hyperbilirubinemia",
"Others"))))))))</f>
        <v>Normal</v>
      </c>
      <c r="AJ69" s="5">
        <v>19</v>
      </c>
      <c r="AK69" s="5" t="s">
        <v>34</v>
      </c>
    </row>
    <row r="70" spans="1:37" ht="43.2" x14ac:dyDescent="0.3">
      <c r="A70" s="5">
        <v>73</v>
      </c>
      <c r="B70" s="5" t="s">
        <v>39</v>
      </c>
      <c r="C70" s="5">
        <v>33</v>
      </c>
      <c r="D70" s="2">
        <v>10</v>
      </c>
      <c r="E70" s="5">
        <v>165</v>
      </c>
      <c r="F70" s="5">
        <v>72</v>
      </c>
      <c r="G70" s="6">
        <v>26.446280991735538</v>
      </c>
      <c r="H70" s="9" t="s">
        <v>42</v>
      </c>
      <c r="I70" s="2">
        <v>30</v>
      </c>
      <c r="J70" s="5" t="s">
        <v>44</v>
      </c>
      <c r="K70" s="5" t="s">
        <v>44</v>
      </c>
      <c r="L70" s="5" t="s">
        <v>44</v>
      </c>
      <c r="M70" s="5" t="s">
        <v>44</v>
      </c>
      <c r="N70" s="5">
        <v>43.3</v>
      </c>
      <c r="O70" s="5">
        <v>32.1</v>
      </c>
      <c r="P70" s="5">
        <v>0.42</v>
      </c>
      <c r="Q70" s="5">
        <v>0.11</v>
      </c>
      <c r="R70" s="5">
        <v>0.31</v>
      </c>
      <c r="S70" s="8">
        <v>0.74133949191685922</v>
      </c>
      <c r="T70" s="5" t="s">
        <v>44</v>
      </c>
      <c r="U70" s="5"/>
      <c r="V70" s="5"/>
      <c r="W70" s="5"/>
      <c r="X70" s="5"/>
      <c r="Y70" s="5" t="s">
        <v>44</v>
      </c>
      <c r="Z70" s="5"/>
      <c r="AA70" s="5"/>
      <c r="AB70" s="9" t="s">
        <v>44</v>
      </c>
      <c r="AC70" s="2" t="s">
        <v>46</v>
      </c>
      <c r="AD70" s="2">
        <v>0</v>
      </c>
      <c r="AE70" s="2" t="s">
        <v>49</v>
      </c>
      <c r="AF70" s="2" t="str">
        <f t="shared" si="1"/>
        <v>Normal</v>
      </c>
      <c r="AG70" s="5">
        <v>0</v>
      </c>
      <c r="AH70" s="5" t="str">
        <f>IF(AG70=0,"Normal",
IF(AND(T70="Yes",S70&gt;=2),"ALD",
IF(AND(T70="Yes",S70&gt;=2,O70&gt;N70),"ALD",
IF(AND(T70="No",S70&gt;=2),"ALD",
IF(AND(G70&gt;=25,OR(T70="No",AND(T70="Yes",S70&lt;1))),"NAFLD",
IF(AND(N70&gt;O70,N70&gt;40,S70&lt;1),"NAFLD",
IF(AND(T70="Yes",S70&lt;1,G70&gt;=25,N70&gt;O70),"NAFLD",
IF(OR(P70&gt;1.2,Q70&gt;0.3),"Hyperbilirubinemia",
"Others"))))))))</f>
        <v>Normal</v>
      </c>
      <c r="AI70" s="5" t="str">
        <f>IF(AG70=0,"Normal",
IF(AND(T70="Yes",S70&gt;=2),"ALD (Confirmed)",
IF(AND(T70="Yes",S70&gt;=2,O70&gt;N70),"ALD (Confirmed)",
IF(AND(T70="No",S70&gt;=2),"ALD (Probable)",
IF(AND(G70&gt;=25,OR(T70="No",AND(T70="Yes",S70&lt;1))),"NAFLD",
IF(AND(N70&gt;O70,N70&gt;40,S70&lt;1),"NAFLD",
IF(AND(T70="Yes",S70&lt;1,G70&gt;=25,N70&gt;O70),"NAFLD",
IF(OR(P70&gt;1.2,Q70&gt;0.3),"Hyperbilirubinemia",
"Others"))))))))</f>
        <v>Normal</v>
      </c>
      <c r="AJ70" s="5">
        <v>14</v>
      </c>
      <c r="AK70" s="5" t="s">
        <v>34</v>
      </c>
    </row>
    <row r="71" spans="1:37" ht="43.2" x14ac:dyDescent="0.3">
      <c r="A71" s="5">
        <v>74</v>
      </c>
      <c r="B71" s="5" t="s">
        <v>39</v>
      </c>
      <c r="C71" s="5">
        <v>47</v>
      </c>
      <c r="D71" s="2">
        <v>24</v>
      </c>
      <c r="E71" s="5">
        <v>174</v>
      </c>
      <c r="F71" s="5">
        <v>70</v>
      </c>
      <c r="G71" s="6">
        <v>23.120623596247853</v>
      </c>
      <c r="H71" s="9" t="s">
        <v>33</v>
      </c>
      <c r="I71" s="2">
        <v>30</v>
      </c>
      <c r="J71" s="5" t="s">
        <v>44</v>
      </c>
      <c r="K71" s="5" t="s">
        <v>44</v>
      </c>
      <c r="L71" s="5" t="s">
        <v>44</v>
      </c>
      <c r="M71" s="5" t="s">
        <v>45</v>
      </c>
      <c r="N71" s="5">
        <v>35.200000000000003</v>
      </c>
      <c r="O71" s="5">
        <v>36.200000000000003</v>
      </c>
      <c r="P71" s="5">
        <v>0.1</v>
      </c>
      <c r="Q71" s="5">
        <v>0.02</v>
      </c>
      <c r="R71" s="5">
        <v>0.08</v>
      </c>
      <c r="S71" s="8">
        <v>1.0284090909090908</v>
      </c>
      <c r="T71" s="5" t="s">
        <v>44</v>
      </c>
      <c r="U71" s="5"/>
      <c r="V71" s="5"/>
      <c r="W71" s="5"/>
      <c r="X71" s="5"/>
      <c r="Y71" s="5" t="s">
        <v>44</v>
      </c>
      <c r="Z71" s="5"/>
      <c r="AA71" s="5"/>
      <c r="AB71" s="9" t="s">
        <v>44</v>
      </c>
      <c r="AC71" s="2" t="s">
        <v>46</v>
      </c>
      <c r="AD71" s="2">
        <v>1</v>
      </c>
      <c r="AE71" s="2" t="s">
        <v>48</v>
      </c>
      <c r="AF71" s="2" t="str">
        <f t="shared" si="1"/>
        <v>Normal</v>
      </c>
      <c r="AG71" s="5">
        <v>0</v>
      </c>
      <c r="AH71" s="5" t="str">
        <f>IF(AG71=0,"Normal",
IF(AND(T71="Yes",S71&gt;=2),"ALD",
IF(AND(T71="Yes",S71&gt;=2,O71&gt;N71),"ALD",
IF(AND(T71="No",S71&gt;=2),"ALD",
IF(AND(G71&gt;=25,OR(T71="No",AND(T71="Yes",S71&lt;1))),"NAFLD",
IF(AND(N71&gt;O71,N71&gt;40,S71&lt;1),"NAFLD",
IF(AND(T71="Yes",S71&lt;1,G71&gt;=25,N71&gt;O71),"NAFLD",
IF(OR(P71&gt;1.2,Q71&gt;0.3),"Hyperbilirubinemia",
"Others"))))))))</f>
        <v>Normal</v>
      </c>
      <c r="AI71" s="5" t="str">
        <f>IF(AG71=0,"Normal",
IF(AND(T71="Yes",S71&gt;=2),"ALD (Confirmed)",
IF(AND(T71="Yes",S71&gt;=2,O71&gt;N71),"ALD (Confirmed)",
IF(AND(T71="No",S71&gt;=2),"ALD (Probable)",
IF(AND(G71&gt;=25,OR(T71="No",AND(T71="Yes",S71&lt;1))),"NAFLD",
IF(AND(N71&gt;O71,N71&gt;40,S71&lt;1),"NAFLD",
IF(AND(T71="Yes",S71&lt;1,G71&gt;=25,N71&gt;O71),"NAFLD",
IF(OR(P71&gt;1.2,Q71&gt;0.3),"Hyperbilirubinemia",
"Others"))))))))</f>
        <v>Normal</v>
      </c>
      <c r="AJ71" s="5">
        <v>9</v>
      </c>
      <c r="AK71" s="5" t="s">
        <v>34</v>
      </c>
    </row>
    <row r="72" spans="1:37" ht="43.2" x14ac:dyDescent="0.3">
      <c r="A72" s="5">
        <v>75</v>
      </c>
      <c r="B72" s="5" t="s">
        <v>39</v>
      </c>
      <c r="C72" s="5">
        <v>36</v>
      </c>
      <c r="D72" s="2">
        <v>3</v>
      </c>
      <c r="E72" s="5">
        <v>176</v>
      </c>
      <c r="F72" s="5">
        <v>86</v>
      </c>
      <c r="G72" s="6">
        <v>27.763429752066113</v>
      </c>
      <c r="H72" s="9" t="s">
        <v>42</v>
      </c>
      <c r="I72" s="2">
        <v>38</v>
      </c>
      <c r="J72" s="5" t="s">
        <v>44</v>
      </c>
      <c r="K72" s="5" t="s">
        <v>44</v>
      </c>
      <c r="L72" s="5" t="s">
        <v>44</v>
      </c>
      <c r="M72" s="5" t="s">
        <v>44</v>
      </c>
      <c r="N72" s="5">
        <v>26.6</v>
      </c>
      <c r="O72" s="5">
        <v>38.6</v>
      </c>
      <c r="P72" s="5">
        <v>0.78</v>
      </c>
      <c r="Q72" s="5">
        <v>0.1</v>
      </c>
      <c r="R72" s="5">
        <v>0.68</v>
      </c>
      <c r="S72" s="8">
        <v>1.4511278195488722</v>
      </c>
      <c r="T72" s="5" t="s">
        <v>44</v>
      </c>
      <c r="U72" s="5"/>
      <c r="V72" s="5"/>
      <c r="W72" s="5"/>
      <c r="X72" s="5"/>
      <c r="Y72" s="5" t="s">
        <v>44</v>
      </c>
      <c r="Z72" s="5"/>
      <c r="AA72" s="5"/>
      <c r="AB72" s="9" t="s">
        <v>44</v>
      </c>
      <c r="AC72" s="2" t="s">
        <v>46</v>
      </c>
      <c r="AD72" s="2">
        <v>0</v>
      </c>
      <c r="AE72" s="2" t="s">
        <v>49</v>
      </c>
      <c r="AF72" s="2" t="str">
        <f t="shared" si="1"/>
        <v>Normal</v>
      </c>
      <c r="AG72" s="5">
        <v>0</v>
      </c>
      <c r="AH72" s="5" t="str">
        <f>IF(AG72=0,"Normal",
IF(AND(T72="Yes",S72&gt;=2),"ALD",
IF(AND(T72="Yes",S72&gt;=2,O72&gt;N72),"ALD",
IF(AND(T72="No",S72&gt;=2),"ALD",
IF(AND(G72&gt;=25,OR(T72="No",AND(T72="Yes",S72&lt;1))),"NAFLD",
IF(AND(N72&gt;O72,N72&gt;40,S72&lt;1),"NAFLD",
IF(AND(T72="Yes",S72&lt;1,G72&gt;=25,N72&gt;O72),"NAFLD",
IF(OR(P72&gt;1.2,Q72&gt;0.3),"Hyperbilirubinemia",
"Others"))))))))</f>
        <v>Normal</v>
      </c>
      <c r="AI72" s="5" t="str">
        <f>IF(AG72=0,"Normal",
IF(AND(T72="Yes",S72&gt;=2),"ALD (Confirmed)",
IF(AND(T72="Yes",S72&gt;=2,O72&gt;N72),"ALD (Confirmed)",
IF(AND(T72="No",S72&gt;=2),"ALD (Probable)",
IF(AND(G72&gt;=25,OR(T72="No",AND(T72="Yes",S72&lt;1))),"NAFLD",
IF(AND(N72&gt;O72,N72&gt;40,S72&lt;1),"NAFLD",
IF(AND(T72="Yes",S72&lt;1,G72&gt;=25,N72&gt;O72),"NAFLD",
IF(OR(P72&gt;1.2,Q72&gt;0.3),"Hyperbilirubinemia",
"Others"))))))))</f>
        <v>Normal</v>
      </c>
      <c r="AJ72" s="5">
        <v>12</v>
      </c>
      <c r="AK72" s="5" t="s">
        <v>34</v>
      </c>
    </row>
    <row r="73" spans="1:37" ht="43.2" x14ac:dyDescent="0.3">
      <c r="A73" s="5">
        <v>76</v>
      </c>
      <c r="B73" s="5" t="s">
        <v>39</v>
      </c>
      <c r="C73" s="5">
        <v>44</v>
      </c>
      <c r="D73" s="2">
        <v>17</v>
      </c>
      <c r="E73" s="5">
        <v>163</v>
      </c>
      <c r="F73" s="5">
        <v>76</v>
      </c>
      <c r="G73" s="6">
        <v>28.604764951635364</v>
      </c>
      <c r="H73" s="9" t="s">
        <v>42</v>
      </c>
      <c r="I73" s="2">
        <v>36</v>
      </c>
      <c r="J73" s="5" t="s">
        <v>44</v>
      </c>
      <c r="K73" s="5" t="s">
        <v>44</v>
      </c>
      <c r="L73" s="5" t="s">
        <v>44</v>
      </c>
      <c r="M73" s="5" t="s">
        <v>44</v>
      </c>
      <c r="N73" s="5">
        <v>41.3</v>
      </c>
      <c r="O73" s="5">
        <v>35</v>
      </c>
      <c r="P73" s="5">
        <v>0.63</v>
      </c>
      <c r="Q73" s="5">
        <v>0.08</v>
      </c>
      <c r="R73" s="5">
        <v>0.55000000000000004</v>
      </c>
      <c r="S73" s="8">
        <v>0.84745762711864414</v>
      </c>
      <c r="T73" s="5" t="s">
        <v>44</v>
      </c>
      <c r="U73" s="5"/>
      <c r="V73" s="5"/>
      <c r="W73" s="5"/>
      <c r="X73" s="5"/>
      <c r="Y73" s="5" t="s">
        <v>44</v>
      </c>
      <c r="Z73" s="5"/>
      <c r="AA73" s="5"/>
      <c r="AB73" s="9" t="s">
        <v>44</v>
      </c>
      <c r="AC73" s="2" t="s">
        <v>46</v>
      </c>
      <c r="AD73" s="2">
        <v>0</v>
      </c>
      <c r="AE73" s="2" t="s">
        <v>49</v>
      </c>
      <c r="AF73" s="2" t="str">
        <f t="shared" si="1"/>
        <v>Normal</v>
      </c>
      <c r="AG73" s="5">
        <v>0</v>
      </c>
      <c r="AH73" s="5" t="str">
        <f>IF(AG73=0,"Normal",
IF(AND(T73="Yes",S73&gt;=2),"ALD",
IF(AND(T73="Yes",S73&gt;=2,O73&gt;N73),"ALD",
IF(AND(T73="No",S73&gt;=2),"ALD",
IF(AND(G73&gt;=25,OR(T73="No",AND(T73="Yes",S73&lt;1))),"NAFLD",
IF(AND(N73&gt;O73,N73&gt;40,S73&lt;1),"NAFLD",
IF(AND(T73="Yes",S73&lt;1,G73&gt;=25,N73&gt;O73),"NAFLD",
IF(OR(P73&gt;1.2,Q73&gt;0.3),"Hyperbilirubinemia",
"Others"))))))))</f>
        <v>Normal</v>
      </c>
      <c r="AI73" s="5" t="str">
        <f>IF(AG73=0,"Normal",
IF(AND(T73="Yes",S73&gt;=2),"ALD (Confirmed)",
IF(AND(T73="Yes",S73&gt;=2,O73&gt;N73),"ALD (Confirmed)",
IF(AND(T73="No",S73&gt;=2),"ALD (Probable)",
IF(AND(G73&gt;=25,OR(T73="No",AND(T73="Yes",S73&lt;1))),"NAFLD",
IF(AND(N73&gt;O73,N73&gt;40,S73&lt;1),"NAFLD",
IF(AND(T73="Yes",S73&lt;1,G73&gt;=25,N73&gt;O73),"NAFLD",
IF(OR(P73&gt;1.2,Q73&gt;0.3),"Hyperbilirubinemia",
"Others"))))))))</f>
        <v>Normal</v>
      </c>
      <c r="AJ73" s="5">
        <v>20</v>
      </c>
      <c r="AK73" s="5" t="s">
        <v>34</v>
      </c>
    </row>
    <row r="74" spans="1:37" ht="43.2" x14ac:dyDescent="0.3">
      <c r="A74" s="5">
        <v>77</v>
      </c>
      <c r="B74" s="5" t="s">
        <v>39</v>
      </c>
      <c r="C74" s="5">
        <v>40</v>
      </c>
      <c r="D74" s="2">
        <v>13</v>
      </c>
      <c r="E74" s="5">
        <v>170</v>
      </c>
      <c r="F74" s="5">
        <v>84</v>
      </c>
      <c r="G74" s="6">
        <v>29.065743944636679</v>
      </c>
      <c r="H74" s="9" t="s">
        <v>42</v>
      </c>
      <c r="I74" s="2">
        <v>34</v>
      </c>
      <c r="J74" s="5" t="s">
        <v>45</v>
      </c>
      <c r="K74" s="5" t="s">
        <v>45</v>
      </c>
      <c r="L74" s="5" t="s">
        <v>44</v>
      </c>
      <c r="M74" s="5" t="s">
        <v>44</v>
      </c>
      <c r="N74" s="5">
        <v>31.8</v>
      </c>
      <c r="O74" s="5">
        <v>39.799999999999997</v>
      </c>
      <c r="P74" s="5">
        <v>0.45</v>
      </c>
      <c r="Q74" s="5">
        <v>0.11</v>
      </c>
      <c r="R74" s="5">
        <v>0.34</v>
      </c>
      <c r="S74" s="8">
        <v>1.2515723270440251</v>
      </c>
      <c r="T74" s="5" t="s">
        <v>45</v>
      </c>
      <c r="U74" s="5" t="s">
        <v>57</v>
      </c>
      <c r="V74" s="5" t="s">
        <v>60</v>
      </c>
      <c r="W74" s="5" t="s">
        <v>65</v>
      </c>
      <c r="X74" s="5" t="s">
        <v>68</v>
      </c>
      <c r="Y74" s="5" t="s">
        <v>44</v>
      </c>
      <c r="Z74" s="5"/>
      <c r="AA74" s="5"/>
      <c r="AB74" s="9" t="s">
        <v>44</v>
      </c>
      <c r="AC74" s="2" t="s">
        <v>46</v>
      </c>
      <c r="AD74" s="2">
        <v>0</v>
      </c>
      <c r="AE74" s="2" t="s">
        <v>49</v>
      </c>
      <c r="AF74" s="2" t="str">
        <f t="shared" si="1"/>
        <v>Normal</v>
      </c>
      <c r="AG74" s="5">
        <v>0</v>
      </c>
      <c r="AH74" s="5" t="str">
        <f>IF(AG74=0,"Normal",
IF(AND(T74="Yes",S74&gt;=2),"ALD",
IF(AND(T74="Yes",S74&gt;=2,O74&gt;N74),"ALD",
IF(AND(T74="No",S74&gt;=2),"ALD",
IF(AND(G74&gt;=25,OR(T74="No",AND(T74="Yes",S74&lt;1))),"NAFLD",
IF(AND(N74&gt;O74,N74&gt;40,S74&lt;1),"NAFLD",
IF(AND(T74="Yes",S74&lt;1,G74&gt;=25,N74&gt;O74),"NAFLD",
IF(OR(P74&gt;1.2,Q74&gt;0.3),"Hyperbilirubinemia",
"Others"))))))))</f>
        <v>Normal</v>
      </c>
      <c r="AI74" s="5" t="str">
        <f>IF(AG74=0,"Normal",
IF(AND(T74="Yes",S74&gt;=2),"ALD (Confirmed)",
IF(AND(T74="Yes",S74&gt;=2,O74&gt;N74),"ALD (Confirmed)",
IF(AND(T74="No",S74&gt;=2),"ALD (Probable)",
IF(AND(G74&gt;=25,OR(T74="No",AND(T74="Yes",S74&lt;1))),"NAFLD",
IF(AND(N74&gt;O74,N74&gt;40,S74&lt;1),"NAFLD",
IF(AND(T74="Yes",S74&lt;1,G74&gt;=25,N74&gt;O74),"NAFLD",
IF(OR(P74&gt;1.2,Q74&gt;0.3),"Hyperbilirubinemia",
"Others"))))))))</f>
        <v>Normal</v>
      </c>
      <c r="AJ74" s="5">
        <v>40</v>
      </c>
      <c r="AK74" s="5" t="s">
        <v>35</v>
      </c>
    </row>
    <row r="75" spans="1:37" ht="43.2" x14ac:dyDescent="0.3">
      <c r="A75" s="5">
        <v>78</v>
      </c>
      <c r="B75" s="5" t="s">
        <v>39</v>
      </c>
      <c r="C75" s="5">
        <v>36</v>
      </c>
      <c r="D75" s="2">
        <v>8</v>
      </c>
      <c r="E75" s="5">
        <v>172</v>
      </c>
      <c r="F75" s="5">
        <v>72</v>
      </c>
      <c r="G75" s="6">
        <v>24.337479718766904</v>
      </c>
      <c r="H75" s="9" t="s">
        <v>33</v>
      </c>
      <c r="I75" s="2">
        <v>32</v>
      </c>
      <c r="J75" s="5" t="s">
        <v>44</v>
      </c>
      <c r="K75" s="5" t="s">
        <v>44</v>
      </c>
      <c r="L75" s="5" t="s">
        <v>44</v>
      </c>
      <c r="M75" s="5" t="s">
        <v>44</v>
      </c>
      <c r="N75" s="5">
        <v>55.12</v>
      </c>
      <c r="O75" s="5">
        <v>55.77</v>
      </c>
      <c r="P75" s="5">
        <v>0.3</v>
      </c>
      <c r="Q75" s="5">
        <v>0.08</v>
      </c>
      <c r="R75" s="5">
        <v>0.22</v>
      </c>
      <c r="S75" s="8">
        <v>1.0117924528301887</v>
      </c>
      <c r="T75" s="5" t="s">
        <v>44</v>
      </c>
      <c r="U75" s="5"/>
      <c r="V75" s="5"/>
      <c r="W75" s="5"/>
      <c r="X75" s="5"/>
      <c r="Y75" s="5" t="s">
        <v>44</v>
      </c>
      <c r="Z75" s="5"/>
      <c r="AA75" s="5"/>
      <c r="AB75" s="9" t="s">
        <v>44</v>
      </c>
      <c r="AC75" s="2" t="s">
        <v>46</v>
      </c>
      <c r="AD75" s="2">
        <v>0</v>
      </c>
      <c r="AE75" s="2" t="s">
        <v>49</v>
      </c>
      <c r="AF75" s="2" t="str">
        <f t="shared" si="1"/>
        <v>Abnormal</v>
      </c>
      <c r="AG75" s="5">
        <v>1</v>
      </c>
      <c r="AH75" s="5" t="str">
        <f>IF(AG75=0,"Normal",
IF(AND(T75="Yes",S75&gt;=2),"ALD",
IF(AND(T75="Yes",S75&gt;=2,O75&gt;N75),"ALD",
IF(AND(T75="No",S75&gt;=2),"ALD",
IF(AND(G75&gt;=25,OR(T75="No",AND(T75="Yes",S75&lt;1))),"NAFLD",
IF(AND(N75&gt;O75,N75&gt;40,S75&lt;1),"NAFLD",
IF(AND(T75="Yes",S75&lt;1,G75&gt;=25,N75&gt;O75),"NAFLD",
IF(OR(P75&gt;1.2,Q75&gt;0.3),"Hyperbilirubinemia",
"Others"))))))))</f>
        <v>Others</v>
      </c>
      <c r="AI75" s="5" t="str">
        <f>IF(AG75=0,"Normal",
IF(AND(T75="Yes",S75&gt;=2),"ALD (Confirmed)",
IF(AND(T75="Yes",S75&gt;=2,O75&gt;N75),"ALD (Confirmed)",
IF(AND(T75="No",S75&gt;=2),"ALD (Probable)",
IF(AND(G75&gt;=25,OR(T75="No",AND(T75="Yes",S75&lt;1))),"NAFLD",
IF(AND(N75&gt;O75,N75&gt;40,S75&lt;1),"NAFLD",
IF(AND(T75="Yes",S75&lt;1,G75&gt;=25,N75&gt;O75),"NAFLD",
IF(OR(P75&gt;1.2,Q75&gt;0.3),"Hyperbilirubinemia",
"Others"))))))))</f>
        <v>Others</v>
      </c>
      <c r="AJ75" s="5">
        <v>13</v>
      </c>
      <c r="AK75" s="5" t="s">
        <v>34</v>
      </c>
    </row>
    <row r="76" spans="1:37" ht="43.2" x14ac:dyDescent="0.3">
      <c r="A76" s="5">
        <v>79</v>
      </c>
      <c r="B76" s="5" t="s">
        <v>39</v>
      </c>
      <c r="C76" s="5">
        <v>40</v>
      </c>
      <c r="D76" s="2">
        <v>15</v>
      </c>
      <c r="E76" s="5">
        <v>177</v>
      </c>
      <c r="F76" s="5">
        <v>76</v>
      </c>
      <c r="G76" s="6">
        <v>24.258674071946121</v>
      </c>
      <c r="H76" s="9" t="s">
        <v>33</v>
      </c>
      <c r="I76" s="2">
        <v>32</v>
      </c>
      <c r="J76" s="5" t="s">
        <v>44</v>
      </c>
      <c r="K76" s="5" t="s">
        <v>44</v>
      </c>
      <c r="L76" s="5" t="s">
        <v>44</v>
      </c>
      <c r="M76" s="5" t="s">
        <v>44</v>
      </c>
      <c r="N76" s="5">
        <v>39.299999999999997</v>
      </c>
      <c r="O76" s="5">
        <v>36.299999999999997</v>
      </c>
      <c r="P76" s="5">
        <v>0.94</v>
      </c>
      <c r="Q76" s="5">
        <v>0.27</v>
      </c>
      <c r="R76" s="5">
        <v>0.67</v>
      </c>
      <c r="S76" s="8">
        <v>0.92366412213740456</v>
      </c>
      <c r="T76" s="5" t="s">
        <v>44</v>
      </c>
      <c r="U76" s="5"/>
      <c r="V76" s="5"/>
      <c r="W76" s="5"/>
      <c r="X76" s="5"/>
      <c r="Y76" s="5" t="s">
        <v>44</v>
      </c>
      <c r="Z76" s="5"/>
      <c r="AA76" s="5"/>
      <c r="AB76" s="9" t="s">
        <v>44</v>
      </c>
      <c r="AC76" s="2" t="s">
        <v>46</v>
      </c>
      <c r="AD76" s="2">
        <v>0</v>
      </c>
      <c r="AE76" s="2" t="s">
        <v>49</v>
      </c>
      <c r="AF76" s="2" t="str">
        <f t="shared" si="1"/>
        <v>Normal</v>
      </c>
      <c r="AG76" s="5">
        <v>0</v>
      </c>
      <c r="AH76" s="5" t="str">
        <f>IF(AG76=0,"Normal",
IF(AND(T76="Yes",S76&gt;=2),"ALD",
IF(AND(T76="Yes",S76&gt;=2,O76&gt;N76),"ALD",
IF(AND(T76="No",S76&gt;=2),"ALD",
IF(AND(G76&gt;=25,OR(T76="No",AND(T76="Yes",S76&lt;1))),"NAFLD",
IF(AND(N76&gt;O76,N76&gt;40,S76&lt;1),"NAFLD",
IF(AND(T76="Yes",S76&lt;1,G76&gt;=25,N76&gt;O76),"NAFLD",
IF(OR(P76&gt;1.2,Q76&gt;0.3),"Hyperbilirubinemia",
"Others"))))))))</f>
        <v>Normal</v>
      </c>
      <c r="AI76" s="5" t="str">
        <f>IF(AG76=0,"Normal",
IF(AND(T76="Yes",S76&gt;=2),"ALD (Confirmed)",
IF(AND(T76="Yes",S76&gt;=2,O76&gt;N76),"ALD (Confirmed)",
IF(AND(T76="No",S76&gt;=2),"ALD (Probable)",
IF(AND(G76&gt;=25,OR(T76="No",AND(T76="Yes",S76&lt;1))),"NAFLD",
IF(AND(N76&gt;O76,N76&gt;40,S76&lt;1),"NAFLD",
IF(AND(T76="Yes",S76&lt;1,G76&gt;=25,N76&gt;O76),"NAFLD",
IF(OR(P76&gt;1.2,Q76&gt;0.3),"Hyperbilirubinemia",
"Others"))))))))</f>
        <v>Normal</v>
      </c>
      <c r="AJ76" s="5">
        <v>7</v>
      </c>
      <c r="AK76" s="5" t="s">
        <v>34</v>
      </c>
    </row>
    <row r="77" spans="1:37" ht="43.2" x14ac:dyDescent="0.3">
      <c r="A77" s="5">
        <v>80</v>
      </c>
      <c r="B77" s="5" t="s">
        <v>39</v>
      </c>
      <c r="C77" s="5">
        <v>29</v>
      </c>
      <c r="D77" s="2">
        <v>4</v>
      </c>
      <c r="E77" s="5">
        <v>172</v>
      </c>
      <c r="F77" s="5">
        <v>69</v>
      </c>
      <c r="G77" s="6">
        <v>23.323418063818281</v>
      </c>
      <c r="H77" s="9" t="s">
        <v>33</v>
      </c>
      <c r="I77" s="2">
        <v>32</v>
      </c>
      <c r="J77" s="5" t="s">
        <v>44</v>
      </c>
      <c r="K77" s="5" t="s">
        <v>44</v>
      </c>
      <c r="L77" s="5" t="s">
        <v>44</v>
      </c>
      <c r="M77" s="5" t="s">
        <v>44</v>
      </c>
      <c r="N77" s="5">
        <v>18</v>
      </c>
      <c r="O77" s="5">
        <v>35.200000000000003</v>
      </c>
      <c r="P77" s="5">
        <v>1.02</v>
      </c>
      <c r="Q77" s="5">
        <v>0.11</v>
      </c>
      <c r="R77" s="5">
        <v>0.91</v>
      </c>
      <c r="S77" s="8">
        <v>1.9555555555555557</v>
      </c>
      <c r="T77" s="5" t="s">
        <v>44</v>
      </c>
      <c r="U77" s="5"/>
      <c r="V77" s="5"/>
      <c r="W77" s="5"/>
      <c r="X77" s="5"/>
      <c r="Y77" s="5" t="s">
        <v>44</v>
      </c>
      <c r="Z77" s="5"/>
      <c r="AA77" s="5"/>
      <c r="AB77" s="9" t="s">
        <v>44</v>
      </c>
      <c r="AC77" s="2" t="s">
        <v>46</v>
      </c>
      <c r="AD77" s="2">
        <v>0</v>
      </c>
      <c r="AE77" s="2" t="s">
        <v>52</v>
      </c>
      <c r="AF77" s="2" t="str">
        <f t="shared" si="1"/>
        <v>Normal</v>
      </c>
      <c r="AG77" s="5">
        <v>0</v>
      </c>
      <c r="AH77" s="5" t="str">
        <f>IF(AG77=0,"Normal",
IF(AND(T77="Yes",S77&gt;=2),"ALD",
IF(AND(T77="Yes",S77&gt;=2,O77&gt;N77),"ALD",
IF(AND(T77="No",S77&gt;=2),"ALD",
IF(AND(G77&gt;=25,OR(T77="No",AND(T77="Yes",S77&lt;1))),"NAFLD",
IF(AND(N77&gt;O77,N77&gt;40,S77&lt;1),"NAFLD",
IF(AND(T77="Yes",S77&lt;1,G77&gt;=25,N77&gt;O77),"NAFLD",
IF(OR(P77&gt;1.2,Q77&gt;0.3),"Hyperbilirubinemia",
"Others"))))))))</f>
        <v>Normal</v>
      </c>
      <c r="AI77" s="5" t="str">
        <f>IF(AG77=0,"Normal",
IF(AND(T77="Yes",S77&gt;=2),"ALD (Confirmed)",
IF(AND(T77="Yes",S77&gt;=2,O77&gt;N77),"ALD (Confirmed)",
IF(AND(T77="No",S77&gt;=2),"ALD (Probable)",
IF(AND(G77&gt;=25,OR(T77="No",AND(T77="Yes",S77&lt;1))),"NAFLD",
IF(AND(N77&gt;O77,N77&gt;40,S77&lt;1),"NAFLD",
IF(AND(T77="Yes",S77&lt;1,G77&gt;=25,N77&gt;O77),"NAFLD",
IF(OR(P77&gt;1.2,Q77&gt;0.3),"Hyperbilirubinemia",
"Others"))))))))</f>
        <v>Normal</v>
      </c>
      <c r="AJ77" s="5">
        <v>7</v>
      </c>
      <c r="AK77" s="5" t="s">
        <v>34</v>
      </c>
    </row>
    <row r="78" spans="1:37" ht="28.8" x14ac:dyDescent="0.3">
      <c r="A78" s="5">
        <v>81</v>
      </c>
      <c r="B78" s="5" t="s">
        <v>39</v>
      </c>
      <c r="C78" s="5">
        <v>41</v>
      </c>
      <c r="D78" s="2">
        <v>20</v>
      </c>
      <c r="E78" s="5">
        <v>167</v>
      </c>
      <c r="F78" s="5">
        <v>75</v>
      </c>
      <c r="G78" s="6">
        <v>26.892323138154829</v>
      </c>
      <c r="H78" s="9" t="s">
        <v>42</v>
      </c>
      <c r="I78" s="2">
        <v>32</v>
      </c>
      <c r="J78" s="5" t="s">
        <v>44</v>
      </c>
      <c r="K78" s="5" t="s">
        <v>44</v>
      </c>
      <c r="L78" s="5" t="s">
        <v>44</v>
      </c>
      <c r="M78" s="5" t="s">
        <v>44</v>
      </c>
      <c r="N78" s="5">
        <v>23.1</v>
      </c>
      <c r="O78" s="5">
        <v>35.200000000000003</v>
      </c>
      <c r="P78" s="5">
        <v>0.74</v>
      </c>
      <c r="Q78" s="5">
        <v>0.05</v>
      </c>
      <c r="R78" s="5">
        <v>0.69</v>
      </c>
      <c r="S78" s="8">
        <v>1.5238095238095239</v>
      </c>
      <c r="T78" s="5" t="s">
        <v>44</v>
      </c>
      <c r="U78" s="5"/>
      <c r="V78" s="5"/>
      <c r="W78" s="5"/>
      <c r="X78" s="5"/>
      <c r="Y78" s="5" t="s">
        <v>44</v>
      </c>
      <c r="Z78" s="5"/>
      <c r="AA78" s="5"/>
      <c r="AB78" s="9" t="s">
        <v>44</v>
      </c>
      <c r="AC78" s="2" t="s">
        <v>47</v>
      </c>
      <c r="AD78" s="2">
        <v>0</v>
      </c>
      <c r="AE78" s="2" t="s">
        <v>52</v>
      </c>
      <c r="AF78" s="2" t="str">
        <f t="shared" si="1"/>
        <v>Normal</v>
      </c>
      <c r="AG78" s="5">
        <v>0</v>
      </c>
      <c r="AH78" s="5" t="str">
        <f>IF(AG78=0,"Normal",
IF(AND(T78="Yes",S78&gt;=2),"ALD",
IF(AND(T78="Yes",S78&gt;=2,O78&gt;N78),"ALD",
IF(AND(T78="No",S78&gt;=2),"ALD",
IF(AND(G78&gt;=25,OR(T78="No",AND(T78="Yes",S78&lt;1))),"NAFLD",
IF(AND(N78&gt;O78,N78&gt;40,S78&lt;1),"NAFLD",
IF(AND(T78="Yes",S78&lt;1,G78&gt;=25,N78&gt;O78),"NAFLD",
IF(OR(P78&gt;1.2,Q78&gt;0.3),"Hyperbilirubinemia",
"Others"))))))))</f>
        <v>Normal</v>
      </c>
      <c r="AI78" s="5" t="str">
        <f>IF(AG78=0,"Normal",
IF(AND(T78="Yes",S78&gt;=2),"ALD (Confirmed)",
IF(AND(T78="Yes",S78&gt;=2,O78&gt;N78),"ALD (Confirmed)",
IF(AND(T78="No",S78&gt;=2),"ALD (Probable)",
IF(AND(G78&gt;=25,OR(T78="No",AND(T78="Yes",S78&lt;1))),"NAFLD",
IF(AND(N78&gt;O78,N78&gt;40,S78&lt;1),"NAFLD",
IF(AND(T78="Yes",S78&lt;1,G78&gt;=25,N78&gt;O78),"NAFLD",
IF(OR(P78&gt;1.2,Q78&gt;0.3),"Hyperbilirubinemia",
"Others"))))))))</f>
        <v>Normal</v>
      </c>
      <c r="AJ78" s="5">
        <v>10</v>
      </c>
      <c r="AK78" s="5" t="s">
        <v>34</v>
      </c>
    </row>
    <row r="79" spans="1:37" ht="28.8" x14ac:dyDescent="0.3">
      <c r="A79" s="5">
        <v>82</v>
      </c>
      <c r="B79" s="5" t="s">
        <v>39</v>
      </c>
      <c r="C79" s="5">
        <v>52</v>
      </c>
      <c r="D79" s="2">
        <v>23</v>
      </c>
      <c r="E79" s="5">
        <v>153</v>
      </c>
      <c r="F79" s="5">
        <v>73</v>
      </c>
      <c r="G79" s="6">
        <v>31.184587124610193</v>
      </c>
      <c r="H79" s="9" t="s">
        <v>41</v>
      </c>
      <c r="I79" s="2">
        <v>32</v>
      </c>
      <c r="J79" s="5" t="s">
        <v>44</v>
      </c>
      <c r="K79" s="5" t="s">
        <v>44</v>
      </c>
      <c r="L79" s="5" t="s">
        <v>44</v>
      </c>
      <c r="M79" s="5" t="s">
        <v>45</v>
      </c>
      <c r="N79" s="5">
        <v>23.6</v>
      </c>
      <c r="O79" s="5">
        <v>43.8</v>
      </c>
      <c r="P79" s="5">
        <v>0.55000000000000004</v>
      </c>
      <c r="Q79" s="5">
        <v>0.13</v>
      </c>
      <c r="R79" s="5">
        <v>0.42</v>
      </c>
      <c r="S79" s="8">
        <v>1.8559322033898302</v>
      </c>
      <c r="T79" s="5" t="s">
        <v>44</v>
      </c>
      <c r="U79" s="5"/>
      <c r="V79" s="5"/>
      <c r="W79" s="5"/>
      <c r="X79" s="5"/>
      <c r="Y79" s="5" t="s">
        <v>44</v>
      </c>
      <c r="Z79" s="5"/>
      <c r="AA79" s="5"/>
      <c r="AB79" s="9" t="s">
        <v>44</v>
      </c>
      <c r="AC79" s="2" t="s">
        <v>47</v>
      </c>
      <c r="AD79" s="2">
        <v>0</v>
      </c>
      <c r="AE79" s="2" t="s">
        <v>49</v>
      </c>
      <c r="AF79" s="2" t="str">
        <f t="shared" si="1"/>
        <v>Abnormal</v>
      </c>
      <c r="AG79" s="5">
        <v>1</v>
      </c>
      <c r="AH79" s="5" t="str">
        <f>IF(AG79=0,"Normal",
IF(AND(T79="Yes",S79&gt;=2),"ALD",
IF(AND(T79="Yes",S79&gt;=2,O79&gt;N79),"ALD",
IF(AND(T79="No",S79&gt;=2),"ALD",
IF(AND(G79&gt;=25,OR(T79="No",AND(T79="Yes",S79&lt;1))),"NAFLD",
IF(AND(N79&gt;O79,N79&gt;40,S79&lt;1),"NAFLD",
IF(AND(T79="Yes",S79&lt;1,G79&gt;=25,N79&gt;O79),"NAFLD",
IF(OR(P79&gt;1.2,Q79&gt;0.3),"Hyperbilirubinemia",
"Others"))))))))</f>
        <v>NAFLD</v>
      </c>
      <c r="AI79" s="5" t="str">
        <f>IF(AG79=0,"Normal",
IF(AND(T79="Yes",S79&gt;=2),"ALD (Confirmed)",
IF(AND(T79="Yes",S79&gt;=2,O79&gt;N79),"ALD (Confirmed)",
IF(AND(T79="No",S79&gt;=2),"ALD (Probable)",
IF(AND(G79&gt;=25,OR(T79="No",AND(T79="Yes",S79&lt;1))),"NAFLD",
IF(AND(N79&gt;O79,N79&gt;40,S79&lt;1),"NAFLD",
IF(AND(T79="Yes",S79&lt;1,G79&gt;=25,N79&gt;O79),"NAFLD",
IF(OR(P79&gt;1.2,Q79&gt;0.3),"Hyperbilirubinemia",
"Others"))))))))</f>
        <v>NAFLD</v>
      </c>
      <c r="AJ79" s="5">
        <v>25</v>
      </c>
      <c r="AK79" s="5" t="s">
        <v>35</v>
      </c>
    </row>
    <row r="80" spans="1:37" ht="43.2" x14ac:dyDescent="0.3">
      <c r="A80" s="5">
        <v>83</v>
      </c>
      <c r="B80" s="5" t="s">
        <v>39</v>
      </c>
      <c r="C80" s="5">
        <v>49</v>
      </c>
      <c r="D80" s="2">
        <v>23</v>
      </c>
      <c r="E80" s="5">
        <v>175</v>
      </c>
      <c r="F80" s="5">
        <v>91</v>
      </c>
      <c r="G80" s="6">
        <v>29.714285714285715</v>
      </c>
      <c r="H80" s="9" t="s">
        <v>42</v>
      </c>
      <c r="I80" s="2">
        <v>42</v>
      </c>
      <c r="J80" s="5" t="s">
        <v>44</v>
      </c>
      <c r="K80" s="5" t="s">
        <v>44</v>
      </c>
      <c r="L80" s="5" t="s">
        <v>44</v>
      </c>
      <c r="M80" s="5" t="s">
        <v>44</v>
      </c>
      <c r="N80" s="5">
        <v>35.5</v>
      </c>
      <c r="O80" s="5">
        <v>49.2</v>
      </c>
      <c r="P80" s="5">
        <v>0.51</v>
      </c>
      <c r="Q80" s="5">
        <v>0.03</v>
      </c>
      <c r="R80" s="5">
        <v>0.48</v>
      </c>
      <c r="S80" s="8">
        <v>1.3859154929577466</v>
      </c>
      <c r="T80" s="5" t="s">
        <v>44</v>
      </c>
      <c r="U80" s="5"/>
      <c r="V80" s="5"/>
      <c r="W80" s="5"/>
      <c r="X80" s="5"/>
      <c r="Y80" s="5" t="s">
        <v>44</v>
      </c>
      <c r="Z80" s="5"/>
      <c r="AA80" s="5"/>
      <c r="AB80" s="9" t="s">
        <v>44</v>
      </c>
      <c r="AC80" s="2" t="s">
        <v>46</v>
      </c>
      <c r="AD80" s="2">
        <v>0</v>
      </c>
      <c r="AE80" s="2" t="s">
        <v>48</v>
      </c>
      <c r="AF80" s="2" t="str">
        <f t="shared" si="1"/>
        <v>Abnormal</v>
      </c>
      <c r="AG80" s="5">
        <v>1</v>
      </c>
      <c r="AH80" s="5" t="str">
        <f>IF(AG80=0,"Normal",
IF(AND(T80="Yes",S80&gt;=2),"ALD",
IF(AND(T80="Yes",S80&gt;=2,O80&gt;N80),"ALD",
IF(AND(T80="No",S80&gt;=2),"ALD",
IF(AND(G80&gt;=25,OR(T80="No",AND(T80="Yes",S80&lt;1))),"NAFLD",
IF(AND(N80&gt;O80,N80&gt;40,S80&lt;1),"NAFLD",
IF(AND(T80="Yes",S80&lt;1,G80&gt;=25,N80&gt;O80),"NAFLD",
IF(OR(P80&gt;1.2,Q80&gt;0.3),"Hyperbilirubinemia",
"Others"))))))))</f>
        <v>NAFLD</v>
      </c>
      <c r="AI80" s="5" t="str">
        <f>IF(AG80=0,"Normal",
IF(AND(T80="Yes",S80&gt;=2),"ALD (Confirmed)",
IF(AND(T80="Yes",S80&gt;=2,O80&gt;N80),"ALD (Confirmed)",
IF(AND(T80="No",S80&gt;=2),"ALD (Probable)",
IF(AND(G80&gt;=25,OR(T80="No",AND(T80="Yes",S80&lt;1))),"NAFLD",
IF(AND(N80&gt;O80,N80&gt;40,S80&lt;1),"NAFLD",
IF(AND(T80="Yes",S80&lt;1,G80&gt;=25,N80&gt;O80),"NAFLD",
IF(OR(P80&gt;1.2,Q80&gt;0.3),"Hyperbilirubinemia",
"Others"))))))))</f>
        <v>NAFLD</v>
      </c>
      <c r="AJ80" s="5">
        <v>19</v>
      </c>
      <c r="AK80" s="5" t="s">
        <v>34</v>
      </c>
    </row>
    <row r="81" spans="1:37" ht="43.2" x14ac:dyDescent="0.3">
      <c r="A81" s="5">
        <v>84</v>
      </c>
      <c r="B81" s="5" t="s">
        <v>39</v>
      </c>
      <c r="C81" s="5">
        <v>41</v>
      </c>
      <c r="D81" s="2">
        <v>16</v>
      </c>
      <c r="E81" s="5">
        <v>160</v>
      </c>
      <c r="F81" s="5">
        <v>70</v>
      </c>
      <c r="G81" s="6">
        <v>27.34375</v>
      </c>
      <c r="H81" s="9" t="s">
        <v>42</v>
      </c>
      <c r="I81" s="2">
        <v>32</v>
      </c>
      <c r="J81" s="5" t="s">
        <v>44</v>
      </c>
      <c r="K81" s="5" t="s">
        <v>44</v>
      </c>
      <c r="L81" s="5" t="s">
        <v>44</v>
      </c>
      <c r="M81" s="5" t="s">
        <v>44</v>
      </c>
      <c r="N81" s="5">
        <v>35.700000000000003</v>
      </c>
      <c r="O81" s="5">
        <v>38.9</v>
      </c>
      <c r="P81" s="5">
        <v>0.41</v>
      </c>
      <c r="Q81" s="5">
        <v>7.0000000000000007E-2</v>
      </c>
      <c r="R81" s="5">
        <v>0.34</v>
      </c>
      <c r="S81" s="8">
        <v>1.0896358543417366</v>
      </c>
      <c r="T81" s="5" t="s">
        <v>44</v>
      </c>
      <c r="U81" s="5"/>
      <c r="V81" s="5"/>
      <c r="W81" s="5"/>
      <c r="X81" s="5"/>
      <c r="Y81" s="5" t="s">
        <v>44</v>
      </c>
      <c r="Z81" s="5"/>
      <c r="AA81" s="5"/>
      <c r="AB81" s="9" t="s">
        <v>44</v>
      </c>
      <c r="AC81" s="2" t="s">
        <v>46</v>
      </c>
      <c r="AD81" s="2">
        <v>1</v>
      </c>
      <c r="AE81" s="2" t="s">
        <v>48</v>
      </c>
      <c r="AF81" s="2" t="str">
        <f t="shared" si="1"/>
        <v>Normal</v>
      </c>
      <c r="AG81" s="5">
        <v>0</v>
      </c>
      <c r="AH81" s="5" t="str">
        <f>IF(AG81=0,"Normal",
IF(AND(T81="Yes",S81&gt;=2),"ALD",
IF(AND(T81="Yes",S81&gt;=2,O81&gt;N81),"ALD",
IF(AND(T81="No",S81&gt;=2),"ALD",
IF(AND(G81&gt;=25,OR(T81="No",AND(T81="Yes",S81&lt;1))),"NAFLD",
IF(AND(N81&gt;O81,N81&gt;40,S81&lt;1),"NAFLD",
IF(AND(T81="Yes",S81&lt;1,G81&gt;=25,N81&gt;O81),"NAFLD",
IF(OR(P81&gt;1.2,Q81&gt;0.3),"Hyperbilirubinemia",
"Others"))))))))</f>
        <v>Normal</v>
      </c>
      <c r="AI81" s="5" t="str">
        <f>IF(AG81=0,"Normal",
IF(AND(T81="Yes",S81&gt;=2),"ALD (Confirmed)",
IF(AND(T81="Yes",S81&gt;=2,O81&gt;N81),"ALD (Confirmed)",
IF(AND(T81="No",S81&gt;=2),"ALD (Probable)",
IF(AND(G81&gt;=25,OR(T81="No",AND(T81="Yes",S81&lt;1))),"NAFLD",
IF(AND(N81&gt;O81,N81&gt;40,S81&lt;1),"NAFLD",
IF(AND(T81="Yes",S81&lt;1,G81&gt;=25,N81&gt;O81),"NAFLD",
IF(OR(P81&gt;1.2,Q81&gt;0.3),"Hyperbilirubinemia",
"Others"))))))))</f>
        <v>Normal</v>
      </c>
      <c r="AJ81" s="5">
        <v>11</v>
      </c>
      <c r="AK81" s="5" t="s">
        <v>34</v>
      </c>
    </row>
    <row r="82" spans="1:37" ht="43.2" x14ac:dyDescent="0.3">
      <c r="A82" s="5">
        <v>85</v>
      </c>
      <c r="B82" s="5" t="s">
        <v>39</v>
      </c>
      <c r="C82" s="5">
        <v>39</v>
      </c>
      <c r="D82" s="2">
        <v>14</v>
      </c>
      <c r="E82" s="5">
        <v>163</v>
      </c>
      <c r="F82" s="5">
        <v>63</v>
      </c>
      <c r="G82" s="6">
        <v>23.711844630960893</v>
      </c>
      <c r="H82" s="9" t="s">
        <v>33</v>
      </c>
      <c r="I82" s="2">
        <v>34</v>
      </c>
      <c r="J82" s="5" t="s">
        <v>44</v>
      </c>
      <c r="K82" s="5" t="s">
        <v>44</v>
      </c>
      <c r="L82" s="5" t="s">
        <v>45</v>
      </c>
      <c r="M82" s="5" t="s">
        <v>44</v>
      </c>
      <c r="N82" s="5">
        <v>25.4</v>
      </c>
      <c r="O82" s="5">
        <v>46.8</v>
      </c>
      <c r="P82" s="5">
        <v>0.44</v>
      </c>
      <c r="Q82" s="5">
        <v>0.05</v>
      </c>
      <c r="R82" s="5">
        <v>0.39</v>
      </c>
      <c r="S82" s="8">
        <v>1.8425196850393701</v>
      </c>
      <c r="T82" s="5" t="s">
        <v>44</v>
      </c>
      <c r="U82" s="5"/>
      <c r="V82" s="5"/>
      <c r="W82" s="5"/>
      <c r="X82" s="5"/>
      <c r="Y82" s="5" t="s">
        <v>44</v>
      </c>
      <c r="Z82" s="5"/>
      <c r="AA82" s="5"/>
      <c r="AB82" s="9" t="s">
        <v>44</v>
      </c>
      <c r="AC82" s="2" t="s">
        <v>46</v>
      </c>
      <c r="AD82" s="2">
        <v>0</v>
      </c>
      <c r="AE82" s="2" t="s">
        <v>52</v>
      </c>
      <c r="AF82" s="2" t="str">
        <f t="shared" si="1"/>
        <v>Abnormal</v>
      </c>
      <c r="AG82" s="5">
        <v>1</v>
      </c>
      <c r="AH82" s="5" t="str">
        <f>IF(AG82=0,"Normal",
IF(AND(T82="Yes",S82&gt;=2),"ALD",
IF(AND(T82="Yes",S82&gt;=2,O82&gt;N82),"ALD",
IF(AND(T82="No",S82&gt;=2),"ALD",
IF(AND(G82&gt;=25,OR(T82="No",AND(T82="Yes",S82&lt;1))),"NAFLD",
IF(AND(N82&gt;O82,N82&gt;40,S82&lt;1),"NAFLD",
IF(AND(T82="Yes",S82&lt;1,G82&gt;=25,N82&gt;O82),"NAFLD",
IF(OR(P82&gt;1.2,Q82&gt;0.3),"Hyperbilirubinemia",
"Others"))))))))</f>
        <v>Others</v>
      </c>
      <c r="AI82" s="5" t="str">
        <f>IF(AG82=0,"Normal",
IF(AND(T82="Yes",S82&gt;=2),"ALD (Confirmed)",
IF(AND(T82="Yes",S82&gt;=2,O82&gt;N82),"ALD (Confirmed)",
IF(AND(T82="No",S82&gt;=2),"ALD (Probable)",
IF(AND(G82&gt;=25,OR(T82="No",AND(T82="Yes",S82&lt;1))),"NAFLD",
IF(AND(N82&gt;O82,N82&gt;40,S82&lt;1),"NAFLD",
IF(AND(T82="Yes",S82&lt;1,G82&gt;=25,N82&gt;O82),"NAFLD",
IF(OR(P82&gt;1.2,Q82&gt;0.3),"Hyperbilirubinemia",
"Others"))))))))</f>
        <v>Others</v>
      </c>
      <c r="AJ82" s="5">
        <v>13</v>
      </c>
      <c r="AK82" s="5" t="s">
        <v>34</v>
      </c>
    </row>
    <row r="83" spans="1:37" ht="43.2" x14ac:dyDescent="0.3">
      <c r="A83" s="5">
        <v>86</v>
      </c>
      <c r="B83" s="5" t="s">
        <v>39</v>
      </c>
      <c r="C83" s="5">
        <v>34</v>
      </c>
      <c r="D83" s="2">
        <v>10</v>
      </c>
      <c r="E83" s="5">
        <v>165</v>
      </c>
      <c r="F83" s="5">
        <v>69</v>
      </c>
      <c r="G83" s="6">
        <v>25.344352617079888</v>
      </c>
      <c r="H83" s="9" t="s">
        <v>42</v>
      </c>
      <c r="I83" s="2">
        <v>30</v>
      </c>
      <c r="J83" s="5" t="s">
        <v>44</v>
      </c>
      <c r="K83" s="5" t="s">
        <v>44</v>
      </c>
      <c r="L83" s="5" t="s">
        <v>44</v>
      </c>
      <c r="M83" s="5" t="s">
        <v>44</v>
      </c>
      <c r="N83" s="5">
        <v>38.9</v>
      </c>
      <c r="O83" s="5">
        <v>32.6</v>
      </c>
      <c r="P83" s="5">
        <v>0.34</v>
      </c>
      <c r="Q83" s="5">
        <v>0.12</v>
      </c>
      <c r="R83" s="5">
        <v>0.22</v>
      </c>
      <c r="S83" s="8">
        <v>0.83804627249357333</v>
      </c>
      <c r="T83" s="5" t="s">
        <v>44</v>
      </c>
      <c r="U83" s="5"/>
      <c r="V83" s="5"/>
      <c r="W83" s="5"/>
      <c r="X83" s="5"/>
      <c r="Y83" s="5" t="s">
        <v>44</v>
      </c>
      <c r="Z83" s="5"/>
      <c r="AA83" s="5"/>
      <c r="AB83" s="9" t="s">
        <v>44</v>
      </c>
      <c r="AC83" s="2" t="s">
        <v>46</v>
      </c>
      <c r="AD83" s="2">
        <v>0</v>
      </c>
      <c r="AE83" s="2" t="s">
        <v>49</v>
      </c>
      <c r="AF83" s="2" t="str">
        <f t="shared" si="1"/>
        <v>Normal</v>
      </c>
      <c r="AG83" s="5">
        <v>0</v>
      </c>
      <c r="AH83" s="5" t="str">
        <f>IF(AG83=0,"Normal",
IF(AND(T83="Yes",S83&gt;=2),"ALD",
IF(AND(T83="Yes",S83&gt;=2,O83&gt;N83),"ALD",
IF(AND(T83="No",S83&gt;=2),"ALD",
IF(AND(G83&gt;=25,OR(T83="No",AND(T83="Yes",S83&lt;1))),"NAFLD",
IF(AND(N83&gt;O83,N83&gt;40,S83&lt;1),"NAFLD",
IF(AND(T83="Yes",S83&lt;1,G83&gt;=25,N83&gt;O83),"NAFLD",
IF(OR(P83&gt;1.2,Q83&gt;0.3),"Hyperbilirubinemia",
"Others"))))))))</f>
        <v>Normal</v>
      </c>
      <c r="AI83" s="5" t="str">
        <f>IF(AG83=0,"Normal",
IF(AND(T83="Yes",S83&gt;=2),"ALD (Confirmed)",
IF(AND(T83="Yes",S83&gt;=2,O83&gt;N83),"ALD (Confirmed)",
IF(AND(T83="No",S83&gt;=2),"ALD (Probable)",
IF(AND(G83&gt;=25,OR(T83="No",AND(T83="Yes",S83&lt;1))),"NAFLD",
IF(AND(N83&gt;O83,N83&gt;40,S83&lt;1),"NAFLD",
IF(AND(T83="Yes",S83&lt;1,G83&gt;=25,N83&gt;O83),"NAFLD",
IF(OR(P83&gt;1.2,Q83&gt;0.3),"Hyperbilirubinemia",
"Others"))))))))</f>
        <v>Normal</v>
      </c>
      <c r="AJ83" s="5">
        <v>11</v>
      </c>
      <c r="AK83" s="5" t="s">
        <v>34</v>
      </c>
    </row>
    <row r="84" spans="1:37" ht="86.4" x14ac:dyDescent="0.3">
      <c r="A84" s="5">
        <v>87</v>
      </c>
      <c r="B84" s="5" t="s">
        <v>39</v>
      </c>
      <c r="C84" s="5">
        <v>42</v>
      </c>
      <c r="D84" s="2">
        <v>18</v>
      </c>
      <c r="E84" s="5">
        <v>181</v>
      </c>
      <c r="F84" s="5">
        <v>82</v>
      </c>
      <c r="G84" s="6">
        <v>25.029760996306585</v>
      </c>
      <c r="H84" s="9" t="s">
        <v>42</v>
      </c>
      <c r="I84" s="2">
        <v>40</v>
      </c>
      <c r="J84" s="5" t="s">
        <v>44</v>
      </c>
      <c r="K84" s="5" t="s">
        <v>44</v>
      </c>
      <c r="L84" s="5" t="s">
        <v>44</v>
      </c>
      <c r="M84" s="5" t="s">
        <v>45</v>
      </c>
      <c r="N84" s="5">
        <v>31.63</v>
      </c>
      <c r="O84" s="5">
        <v>18.440000000000001</v>
      </c>
      <c r="P84" s="5">
        <v>0.51</v>
      </c>
      <c r="Q84" s="5">
        <v>0.06</v>
      </c>
      <c r="R84" s="5">
        <v>0.45</v>
      </c>
      <c r="S84" s="8">
        <v>0.5829908314890927</v>
      </c>
      <c r="T84" s="5" t="s">
        <v>45</v>
      </c>
      <c r="U84" s="5" t="s">
        <v>55</v>
      </c>
      <c r="V84" s="5" t="s">
        <v>60</v>
      </c>
      <c r="W84" s="5" t="s">
        <v>65</v>
      </c>
      <c r="X84" s="5" t="s">
        <v>69</v>
      </c>
      <c r="Y84" s="5" t="s">
        <v>44</v>
      </c>
      <c r="Z84" s="5"/>
      <c r="AA84" s="5"/>
      <c r="AB84" s="9" t="s">
        <v>44</v>
      </c>
      <c r="AC84" s="2" t="s">
        <v>46</v>
      </c>
      <c r="AD84" s="2">
        <v>0</v>
      </c>
      <c r="AE84" s="2" t="s">
        <v>49</v>
      </c>
      <c r="AF84" s="2" t="str">
        <f t="shared" si="1"/>
        <v>Normal</v>
      </c>
      <c r="AG84" s="5">
        <v>0</v>
      </c>
      <c r="AH84" s="5" t="str">
        <f>IF(AG84=0,"Normal",
IF(AND(T84="Yes",S84&gt;=2),"ALD",
IF(AND(T84="Yes",S84&gt;=2,O84&gt;N84),"ALD",
IF(AND(T84="No",S84&gt;=2),"ALD",
IF(AND(G84&gt;=25,OR(T84="No",AND(T84="Yes",S84&lt;1))),"NAFLD",
IF(AND(N84&gt;O84,N84&gt;40,S84&lt;1),"NAFLD",
IF(AND(T84="Yes",S84&lt;1,G84&gt;=25,N84&gt;O84),"NAFLD",
IF(OR(P84&gt;1.2,Q84&gt;0.3),"Hyperbilirubinemia",
"Others"))))))))</f>
        <v>Normal</v>
      </c>
      <c r="AI84" s="5" t="str">
        <f>IF(AG84=0,"Normal",
IF(AND(T84="Yes",S84&gt;=2),"ALD (Confirmed)",
IF(AND(T84="Yes",S84&gt;=2,O84&gt;N84),"ALD (Confirmed)",
IF(AND(T84="No",S84&gt;=2),"ALD (Probable)",
IF(AND(G84&gt;=25,OR(T84="No",AND(T84="Yes",S84&lt;1))),"NAFLD",
IF(AND(N84&gt;O84,N84&gt;40,S84&lt;1),"NAFLD",
IF(AND(T84="Yes",S84&lt;1,G84&gt;=25,N84&gt;O84),"NAFLD",
IF(OR(P84&gt;1.2,Q84&gt;0.3),"Hyperbilirubinemia",
"Others"))))))))</f>
        <v>Normal</v>
      </c>
      <c r="AJ84" s="5">
        <v>27</v>
      </c>
      <c r="AK84" s="5" t="s">
        <v>35</v>
      </c>
    </row>
    <row r="85" spans="1:37" ht="43.2" x14ac:dyDescent="0.3">
      <c r="A85" s="5">
        <v>88</v>
      </c>
      <c r="B85" s="5" t="s">
        <v>39</v>
      </c>
      <c r="C85" s="5">
        <v>36</v>
      </c>
      <c r="D85" s="2">
        <v>10</v>
      </c>
      <c r="E85" s="5">
        <v>153</v>
      </c>
      <c r="F85" s="5">
        <v>72</v>
      </c>
      <c r="G85" s="6">
        <v>30.8</v>
      </c>
      <c r="H85" s="9" t="s">
        <v>41</v>
      </c>
      <c r="I85" s="2">
        <v>32</v>
      </c>
      <c r="J85" s="5" t="s">
        <v>44</v>
      </c>
      <c r="K85" s="5" t="s">
        <v>44</v>
      </c>
      <c r="L85" s="5" t="s">
        <v>44</v>
      </c>
      <c r="M85" s="5" t="s">
        <v>44</v>
      </c>
      <c r="N85" s="5">
        <v>28.8</v>
      </c>
      <c r="O85" s="5">
        <v>49.8</v>
      </c>
      <c r="P85" s="5">
        <v>0.32</v>
      </c>
      <c r="Q85" s="5">
        <v>7.0000000000000007E-2</v>
      </c>
      <c r="R85" s="5">
        <v>0.25</v>
      </c>
      <c r="S85" s="8">
        <v>1.7291666666666665</v>
      </c>
      <c r="T85" s="5" t="s">
        <v>44</v>
      </c>
      <c r="U85" s="5"/>
      <c r="V85" s="5"/>
      <c r="W85" s="5"/>
      <c r="X85" s="5"/>
      <c r="Y85" s="5" t="s">
        <v>44</v>
      </c>
      <c r="Z85" s="5"/>
      <c r="AA85" s="5"/>
      <c r="AB85" s="9" t="s">
        <v>44</v>
      </c>
      <c r="AC85" s="2" t="s">
        <v>46</v>
      </c>
      <c r="AD85" s="2">
        <v>0</v>
      </c>
      <c r="AE85" s="2" t="s">
        <v>48</v>
      </c>
      <c r="AF85" s="2" t="str">
        <f t="shared" si="1"/>
        <v>Abnormal</v>
      </c>
      <c r="AG85" s="5">
        <v>1</v>
      </c>
      <c r="AH85" s="5" t="str">
        <f>IF(AG85=0,"Normal",
IF(AND(T85="Yes",S85&gt;=2),"ALD",
IF(AND(T85="Yes",S85&gt;=2,O85&gt;N85),"ALD",
IF(AND(T85="No",S85&gt;=2),"ALD",
IF(AND(G85&gt;=25,OR(T85="No",AND(T85="Yes",S85&lt;1))),"NAFLD",
IF(AND(N85&gt;O85,N85&gt;40,S85&lt;1),"NAFLD",
IF(AND(T85="Yes",S85&lt;1,G85&gt;=25,N85&gt;O85),"NAFLD",
IF(OR(P85&gt;1.2,Q85&gt;0.3),"Hyperbilirubinemia",
"Others"))))))))</f>
        <v>NAFLD</v>
      </c>
      <c r="AI85" s="5" t="str">
        <f>IF(AG85=0,"Normal",
IF(AND(T85="Yes",S85&gt;=2),"ALD (Confirmed)",
IF(AND(T85="Yes",S85&gt;=2,O85&gt;N85),"ALD (Confirmed)",
IF(AND(T85="No",S85&gt;=2),"ALD (Probable)",
IF(AND(G85&gt;=25,OR(T85="No",AND(T85="Yes",S85&lt;1))),"NAFLD",
IF(AND(N85&gt;O85,N85&gt;40,S85&lt;1),"NAFLD",
IF(AND(T85="Yes",S85&lt;1,G85&gt;=25,N85&gt;O85),"NAFLD",
IF(OR(P85&gt;1.2,Q85&gt;0.3),"Hyperbilirubinemia",
"Others"))))))))</f>
        <v>NAFLD</v>
      </c>
      <c r="AJ85" s="5">
        <v>21</v>
      </c>
      <c r="AK85" s="5" t="s">
        <v>35</v>
      </c>
    </row>
    <row r="86" spans="1:37" ht="28.8" x14ac:dyDescent="0.3">
      <c r="A86" s="5">
        <v>89</v>
      </c>
      <c r="B86" s="5" t="s">
        <v>39</v>
      </c>
      <c r="C86" s="5">
        <v>38</v>
      </c>
      <c r="D86" s="2">
        <v>16</v>
      </c>
      <c r="E86" s="5">
        <v>163</v>
      </c>
      <c r="F86" s="5">
        <v>62</v>
      </c>
      <c r="G86" s="6">
        <v>23.335466144755166</v>
      </c>
      <c r="H86" s="9" t="s">
        <v>33</v>
      </c>
      <c r="I86" s="2">
        <v>32</v>
      </c>
      <c r="J86" s="5" t="s">
        <v>44</v>
      </c>
      <c r="K86" s="5" t="s">
        <v>44</v>
      </c>
      <c r="L86" s="5" t="s">
        <v>44</v>
      </c>
      <c r="M86" s="5" t="s">
        <v>44</v>
      </c>
      <c r="N86" s="5">
        <v>28.4</v>
      </c>
      <c r="O86" s="5">
        <v>42.9</v>
      </c>
      <c r="P86" s="5">
        <v>1.64</v>
      </c>
      <c r="Q86" s="5">
        <v>0.15</v>
      </c>
      <c r="R86" s="5">
        <v>1.49</v>
      </c>
      <c r="S86" s="8">
        <v>1.5105633802816902</v>
      </c>
      <c r="T86" s="5" t="s">
        <v>44</v>
      </c>
      <c r="U86" s="5"/>
      <c r="V86" s="5"/>
      <c r="W86" s="5"/>
      <c r="X86" s="5"/>
      <c r="Y86" s="5" t="s">
        <v>44</v>
      </c>
      <c r="Z86" s="5"/>
      <c r="AA86" s="5"/>
      <c r="AB86" s="9" t="s">
        <v>44</v>
      </c>
      <c r="AC86" s="2" t="s">
        <v>47</v>
      </c>
      <c r="AD86" s="2">
        <v>0</v>
      </c>
      <c r="AE86" s="2" t="s">
        <v>49</v>
      </c>
      <c r="AF86" s="2" t="str">
        <f t="shared" si="1"/>
        <v>Abnormal</v>
      </c>
      <c r="AG86" s="5">
        <v>1</v>
      </c>
      <c r="AH86" s="5" t="str">
        <f>IF(AG86=0,"Normal",
IF(AND(T86="Yes",S86&gt;=2),"ALD",
IF(AND(T86="Yes",S86&gt;=2,O86&gt;N86),"ALD",
IF(AND(T86="No",S86&gt;=2),"ALD",
IF(AND(G86&gt;=25,OR(T86="No",AND(T86="Yes",S86&lt;1))),"NAFLD",
IF(AND(N86&gt;O86,N86&gt;40,S86&lt;1),"NAFLD",
IF(AND(T86="Yes",S86&lt;1,G86&gt;=25,N86&gt;O86),"NAFLD",
IF(OR(P86&gt;1.2,Q86&gt;0.3),"Hyperbilirubinemia",
"Others"))))))))</f>
        <v>Hyperbilirubinemia</v>
      </c>
      <c r="AI86" s="5" t="str">
        <f>IF(AG86=0,"Normal",
IF(AND(T86="Yes",S86&gt;=2),"ALD (Confirmed)",
IF(AND(T86="Yes",S86&gt;=2,O86&gt;N86),"ALD (Confirmed)",
IF(AND(T86="No",S86&gt;=2),"ALD (Probable)",
IF(AND(G86&gt;=25,OR(T86="No",AND(T86="Yes",S86&lt;1))),"NAFLD",
IF(AND(N86&gt;O86,N86&gt;40,S86&lt;1),"NAFLD",
IF(AND(T86="Yes",S86&lt;1,G86&gt;=25,N86&gt;O86),"NAFLD",
IF(OR(P86&gt;1.2,Q86&gt;0.3),"Hyperbilirubinemia",
"Others"))))))))</f>
        <v>Hyperbilirubinemia</v>
      </c>
      <c r="AJ86" s="5">
        <v>10</v>
      </c>
      <c r="AK86" s="5" t="s">
        <v>34</v>
      </c>
    </row>
    <row r="87" spans="1:37" ht="43.2" x14ac:dyDescent="0.3">
      <c r="A87" s="5">
        <v>90</v>
      </c>
      <c r="B87" s="5" t="s">
        <v>39</v>
      </c>
      <c r="C87" s="5">
        <v>56</v>
      </c>
      <c r="D87" s="2">
        <v>33</v>
      </c>
      <c r="E87" s="5">
        <v>156</v>
      </c>
      <c r="F87" s="5">
        <v>65</v>
      </c>
      <c r="G87" s="6">
        <v>26.70940170940171</v>
      </c>
      <c r="H87" s="9" t="s">
        <v>42</v>
      </c>
      <c r="I87" s="2">
        <v>30</v>
      </c>
      <c r="J87" s="5" t="s">
        <v>44</v>
      </c>
      <c r="K87" s="5" t="s">
        <v>44</v>
      </c>
      <c r="L87" s="5" t="s">
        <v>44</v>
      </c>
      <c r="M87" s="5" t="s">
        <v>45</v>
      </c>
      <c r="N87" s="5">
        <v>18.5</v>
      </c>
      <c r="O87" s="5">
        <v>35.36</v>
      </c>
      <c r="P87" s="5">
        <v>0.55000000000000004</v>
      </c>
      <c r="Q87" s="5">
        <v>0.11</v>
      </c>
      <c r="R87" s="5">
        <v>0.44</v>
      </c>
      <c r="S87" s="8">
        <v>1.9113513513513514</v>
      </c>
      <c r="T87" s="5" t="s">
        <v>44</v>
      </c>
      <c r="U87" s="5"/>
      <c r="V87" s="5"/>
      <c r="W87" s="5"/>
      <c r="X87" s="5"/>
      <c r="Y87" s="5" t="s">
        <v>44</v>
      </c>
      <c r="Z87" s="5"/>
      <c r="AA87" s="5"/>
      <c r="AB87" s="9" t="s">
        <v>44</v>
      </c>
      <c r="AC87" s="2" t="s">
        <v>46</v>
      </c>
      <c r="AD87" s="2">
        <v>1</v>
      </c>
      <c r="AE87" s="2" t="s">
        <v>48</v>
      </c>
      <c r="AF87" s="2" t="str">
        <f t="shared" si="1"/>
        <v>Normal</v>
      </c>
      <c r="AG87" s="5">
        <v>0</v>
      </c>
      <c r="AH87" s="5" t="str">
        <f>IF(AG87=0,"Normal",
IF(AND(T87="Yes",S87&gt;=2),"ALD",
IF(AND(T87="Yes",S87&gt;=2,O87&gt;N87),"ALD",
IF(AND(T87="No",S87&gt;=2),"ALD",
IF(AND(G87&gt;=25,OR(T87="No",AND(T87="Yes",S87&lt;1))),"NAFLD",
IF(AND(N87&gt;O87,N87&gt;40,S87&lt;1),"NAFLD",
IF(AND(T87="Yes",S87&lt;1,G87&gt;=25,N87&gt;O87),"NAFLD",
IF(OR(P87&gt;1.2,Q87&gt;0.3),"Hyperbilirubinemia",
"Others"))))))))</f>
        <v>Normal</v>
      </c>
      <c r="AI87" s="5" t="str">
        <f>IF(AG87=0,"Normal",
IF(AND(T87="Yes",S87&gt;=2),"ALD (Confirmed)",
IF(AND(T87="Yes",S87&gt;=2,O87&gt;N87),"ALD (Confirmed)",
IF(AND(T87="No",S87&gt;=2),"ALD (Probable)",
IF(AND(G87&gt;=25,OR(T87="No",AND(T87="Yes",S87&lt;1))),"NAFLD",
IF(AND(N87&gt;O87,N87&gt;40,S87&lt;1),"NAFLD",
IF(AND(T87="Yes",S87&lt;1,G87&gt;=25,N87&gt;O87),"NAFLD",
IF(OR(P87&gt;1.2,Q87&gt;0.3),"Hyperbilirubinemia",
"Others"))))))))</f>
        <v>Normal</v>
      </c>
      <c r="AJ87" s="5">
        <v>15</v>
      </c>
      <c r="AK87" s="5" t="s">
        <v>34</v>
      </c>
    </row>
    <row r="88" spans="1:37" ht="28.8" x14ac:dyDescent="0.3">
      <c r="A88" s="5">
        <v>91</v>
      </c>
      <c r="B88" s="5" t="s">
        <v>39</v>
      </c>
      <c r="C88" s="5">
        <v>43</v>
      </c>
      <c r="D88" s="2">
        <v>20</v>
      </c>
      <c r="E88" s="5">
        <v>163</v>
      </c>
      <c r="F88" s="5">
        <v>73</v>
      </c>
      <c r="G88" s="6">
        <v>27.475629493018179</v>
      </c>
      <c r="H88" s="9" t="s">
        <v>42</v>
      </c>
      <c r="I88" s="2">
        <v>32</v>
      </c>
      <c r="J88" s="5" t="s">
        <v>44</v>
      </c>
      <c r="K88" s="5" t="s">
        <v>44</v>
      </c>
      <c r="L88" s="5" t="s">
        <v>44</v>
      </c>
      <c r="M88" s="5" t="s">
        <v>44</v>
      </c>
      <c r="N88" s="5">
        <v>27.21</v>
      </c>
      <c r="O88" s="5">
        <v>47.01</v>
      </c>
      <c r="P88" s="5">
        <v>0.43</v>
      </c>
      <c r="Q88" s="5">
        <v>0.08</v>
      </c>
      <c r="R88" s="5">
        <v>0.35</v>
      </c>
      <c r="S88" s="8">
        <v>1.7276736493936051</v>
      </c>
      <c r="T88" s="5" t="s">
        <v>44</v>
      </c>
      <c r="U88" s="5"/>
      <c r="V88" s="5"/>
      <c r="W88" s="5"/>
      <c r="X88" s="5"/>
      <c r="Y88" s="5" t="s">
        <v>44</v>
      </c>
      <c r="Z88" s="5"/>
      <c r="AA88" s="5"/>
      <c r="AB88" s="9" t="s">
        <v>44</v>
      </c>
      <c r="AC88" s="2" t="s">
        <v>47</v>
      </c>
      <c r="AD88" s="2">
        <v>0</v>
      </c>
      <c r="AE88" s="2" t="s">
        <v>49</v>
      </c>
      <c r="AF88" s="2" t="str">
        <f t="shared" si="1"/>
        <v>Abnormal</v>
      </c>
      <c r="AG88" s="5">
        <v>1</v>
      </c>
      <c r="AH88" s="5" t="str">
        <f>IF(AG88=0,"Normal",
IF(AND(T88="Yes",S88&gt;=2),"ALD",
IF(AND(T88="Yes",S88&gt;=2,O88&gt;N88),"ALD",
IF(AND(T88="No",S88&gt;=2),"ALD",
IF(AND(G88&gt;=25,OR(T88="No",AND(T88="Yes",S88&lt;1))),"NAFLD",
IF(AND(N88&gt;O88,N88&gt;40,S88&lt;1),"NAFLD",
IF(AND(T88="Yes",S88&lt;1,G88&gt;=25,N88&gt;O88),"NAFLD",
IF(OR(P88&gt;1.2,Q88&gt;0.3),"Hyperbilirubinemia",
"Others"))))))))</f>
        <v>NAFLD</v>
      </c>
      <c r="AI88" s="5" t="str">
        <f>IF(AG88=0,"Normal",
IF(AND(T88="Yes",S88&gt;=2),"ALD (Confirmed)",
IF(AND(T88="Yes",S88&gt;=2,O88&gt;N88),"ALD (Confirmed)",
IF(AND(T88="No",S88&gt;=2),"ALD (Probable)",
IF(AND(G88&gt;=25,OR(T88="No",AND(T88="Yes",S88&lt;1))),"NAFLD",
IF(AND(N88&gt;O88,N88&gt;40,S88&lt;1),"NAFLD",
IF(AND(T88="Yes",S88&lt;1,G88&gt;=25,N88&gt;O88),"NAFLD",
IF(OR(P88&gt;1.2,Q88&gt;0.3),"Hyperbilirubinemia",
"Others"))))))))</f>
        <v>NAFLD</v>
      </c>
      <c r="AJ88" s="5">
        <v>13</v>
      </c>
      <c r="AK88" s="5" t="s">
        <v>34</v>
      </c>
    </row>
    <row r="89" spans="1:37" ht="43.2" x14ac:dyDescent="0.3">
      <c r="A89" s="5">
        <v>92</v>
      </c>
      <c r="B89" s="5" t="s">
        <v>39</v>
      </c>
      <c r="C89" s="5">
        <v>44</v>
      </c>
      <c r="D89" s="2">
        <v>17</v>
      </c>
      <c r="E89" s="5">
        <v>168</v>
      </c>
      <c r="F89" s="5">
        <v>72</v>
      </c>
      <c r="G89" s="6">
        <v>25.510204081632651</v>
      </c>
      <c r="H89" s="9" t="s">
        <v>42</v>
      </c>
      <c r="I89" s="2">
        <v>34</v>
      </c>
      <c r="J89" s="5" t="s">
        <v>44</v>
      </c>
      <c r="K89" s="5" t="s">
        <v>44</v>
      </c>
      <c r="L89" s="5" t="s">
        <v>45</v>
      </c>
      <c r="M89" s="5" t="s">
        <v>44</v>
      </c>
      <c r="N89" s="5">
        <v>25.45</v>
      </c>
      <c r="O89" s="5">
        <v>50.07</v>
      </c>
      <c r="P89" s="5">
        <v>0.62</v>
      </c>
      <c r="Q89" s="5">
        <v>0.1</v>
      </c>
      <c r="R89" s="5">
        <v>0.52</v>
      </c>
      <c r="S89" s="8">
        <v>1.9673870333988213</v>
      </c>
      <c r="T89" s="5" t="s">
        <v>45</v>
      </c>
      <c r="U89" s="5" t="s">
        <v>57</v>
      </c>
      <c r="V89" s="5" t="s">
        <v>60</v>
      </c>
      <c r="W89" s="5" t="s">
        <v>65</v>
      </c>
      <c r="X89" s="5" t="s">
        <v>68</v>
      </c>
      <c r="Y89" s="5" t="s">
        <v>44</v>
      </c>
      <c r="Z89" s="5"/>
      <c r="AA89" s="5"/>
      <c r="AB89" s="9" t="s">
        <v>44</v>
      </c>
      <c r="AC89" s="2" t="s">
        <v>46</v>
      </c>
      <c r="AD89" s="2">
        <v>0</v>
      </c>
      <c r="AE89" s="2" t="s">
        <v>49</v>
      </c>
      <c r="AF89" s="2" t="str">
        <f t="shared" si="1"/>
        <v>Abnormal</v>
      </c>
      <c r="AG89" s="5">
        <v>1</v>
      </c>
      <c r="AH89" s="5" t="str">
        <f>IF(AG89=0,"Normal",
IF(AND(T89="Yes",S89&gt;=2),"ALD",
IF(AND(T89="Yes",S89&gt;=2,O89&gt;N89),"ALD",
IF(AND(T89="No",S89&gt;=2),"ALD",
IF(AND(G89&gt;=25,OR(T89="No",AND(T89="Yes",S89&lt;1))),"NAFLD",
IF(AND(N89&gt;O89,N89&gt;40,S89&lt;1),"NAFLD",
IF(AND(T89="Yes",S89&lt;1,G89&gt;=25,N89&gt;O89),"NAFLD",
IF(OR(P89&gt;1.2,Q89&gt;0.3),"Hyperbilirubinemia",
"Others"))))))))</f>
        <v>Others</v>
      </c>
      <c r="AI89" s="5" t="str">
        <f>IF(AG89=0,"Normal",
IF(AND(T89="Yes",S89&gt;=2),"ALD (Confirmed)",
IF(AND(T89="Yes",S89&gt;=2,O89&gt;N89),"ALD (Confirmed)",
IF(AND(T89="No",S89&gt;=2),"ALD (Probable)",
IF(AND(G89&gt;=25,OR(T89="No",AND(T89="Yes",S89&lt;1))),"NAFLD",
IF(AND(N89&gt;O89,N89&gt;40,S89&lt;1),"NAFLD",
IF(AND(T89="Yes",S89&lt;1,G89&gt;=25,N89&gt;O89),"NAFLD",
IF(OR(P89&gt;1.2,Q89&gt;0.3),"Hyperbilirubinemia",
"Others"))))))))</f>
        <v>Others</v>
      </c>
      <c r="AJ89" s="5">
        <v>29</v>
      </c>
      <c r="AK89" s="5" t="s">
        <v>35</v>
      </c>
    </row>
    <row r="90" spans="1:37" ht="28.8" x14ac:dyDescent="0.3">
      <c r="A90" s="5">
        <v>93</v>
      </c>
      <c r="B90" s="5" t="s">
        <v>39</v>
      </c>
      <c r="C90" s="5">
        <v>39</v>
      </c>
      <c r="D90" s="2">
        <v>16</v>
      </c>
      <c r="E90" s="5">
        <v>163</v>
      </c>
      <c r="F90" s="5">
        <v>60</v>
      </c>
      <c r="G90" s="6">
        <v>22.582709172343712</v>
      </c>
      <c r="H90" s="9" t="s">
        <v>33</v>
      </c>
      <c r="I90" s="2">
        <v>30</v>
      </c>
      <c r="J90" s="5" t="s">
        <v>44</v>
      </c>
      <c r="K90" s="5" t="s">
        <v>44</v>
      </c>
      <c r="L90" s="5" t="s">
        <v>45</v>
      </c>
      <c r="M90" s="5" t="s">
        <v>44</v>
      </c>
      <c r="N90" s="5">
        <v>18.39</v>
      </c>
      <c r="O90" s="5">
        <v>37.44</v>
      </c>
      <c r="P90" s="5">
        <v>0.31</v>
      </c>
      <c r="Q90" s="5">
        <v>0.06</v>
      </c>
      <c r="R90" s="5">
        <v>0.25</v>
      </c>
      <c r="S90" s="8">
        <v>2.0358890701468186</v>
      </c>
      <c r="T90" s="5" t="s">
        <v>44</v>
      </c>
      <c r="U90" s="5"/>
      <c r="V90" s="5"/>
      <c r="W90" s="5"/>
      <c r="X90" s="5"/>
      <c r="Y90" s="5" t="s">
        <v>44</v>
      </c>
      <c r="Z90" s="5"/>
      <c r="AA90" s="5"/>
      <c r="AB90" s="9" t="s">
        <v>44</v>
      </c>
      <c r="AC90" s="2" t="s">
        <v>47</v>
      </c>
      <c r="AD90" s="2">
        <v>0</v>
      </c>
      <c r="AE90" s="2" t="s">
        <v>49</v>
      </c>
      <c r="AF90" s="2" t="str">
        <f t="shared" si="1"/>
        <v>Normal</v>
      </c>
      <c r="AG90" s="5">
        <v>0</v>
      </c>
      <c r="AH90" s="5" t="str">
        <f>IF(AG90=0,"Normal",
IF(AND(T90="Yes",S90&gt;=2),"ALD",
IF(AND(T90="Yes",S90&gt;=2,O90&gt;N90),"ALD",
IF(AND(T90="No",S90&gt;=2),"ALD",
IF(AND(G90&gt;=25,OR(T90="No",AND(T90="Yes",S90&lt;1))),"NAFLD",
IF(AND(N90&gt;O90,N90&gt;40,S90&lt;1),"NAFLD",
IF(AND(T90="Yes",S90&lt;1,G90&gt;=25,N90&gt;O90),"NAFLD",
IF(OR(P90&gt;1.2,Q90&gt;0.3),"Hyperbilirubinemia",
"Others"))))))))</f>
        <v>Normal</v>
      </c>
      <c r="AI90" s="5" t="str">
        <f>IF(AG90=0,"Normal",
IF(AND(T90="Yes",S90&gt;=2),"ALD (Confirmed)",
IF(AND(T90="Yes",S90&gt;=2,O90&gt;N90),"ALD (Confirmed)",
IF(AND(T90="No",S90&gt;=2),"ALD (Probable)",
IF(AND(G90&gt;=25,OR(T90="No",AND(T90="Yes",S90&lt;1))),"NAFLD",
IF(AND(N90&gt;O90,N90&gt;40,S90&lt;1),"NAFLD",
IF(AND(T90="Yes",S90&lt;1,G90&gt;=25,N90&gt;O90),"NAFLD",
IF(OR(P90&gt;1.2,Q90&gt;0.3),"Hyperbilirubinemia",
"Others"))))))))</f>
        <v>Normal</v>
      </c>
      <c r="AJ90" s="5">
        <v>8</v>
      </c>
      <c r="AK90" s="5" t="s">
        <v>34</v>
      </c>
    </row>
    <row r="91" spans="1:37" ht="43.2" x14ac:dyDescent="0.3">
      <c r="A91" s="5">
        <v>94</v>
      </c>
      <c r="B91" s="5" t="s">
        <v>39</v>
      </c>
      <c r="C91" s="5">
        <v>32</v>
      </c>
      <c r="D91" s="2">
        <v>10</v>
      </c>
      <c r="E91" s="5">
        <v>173</v>
      </c>
      <c r="F91" s="5">
        <v>70</v>
      </c>
      <c r="G91" s="6">
        <v>23.388686558187711</v>
      </c>
      <c r="H91" s="9" t="s">
        <v>33</v>
      </c>
      <c r="I91" s="2">
        <v>30</v>
      </c>
      <c r="J91" s="5" t="s">
        <v>44</v>
      </c>
      <c r="K91" s="5" t="s">
        <v>44</v>
      </c>
      <c r="L91" s="5" t="s">
        <v>44</v>
      </c>
      <c r="M91" s="5" t="s">
        <v>44</v>
      </c>
      <c r="N91" s="5">
        <v>15.9</v>
      </c>
      <c r="O91" s="5">
        <v>38.6</v>
      </c>
      <c r="P91" s="5">
        <v>0.71</v>
      </c>
      <c r="Q91" s="5">
        <v>0.15</v>
      </c>
      <c r="R91" s="5">
        <v>0.56000000000000005</v>
      </c>
      <c r="S91" s="8">
        <v>2.4276729559748427</v>
      </c>
      <c r="T91" s="5" t="s">
        <v>45</v>
      </c>
      <c r="U91" s="5" t="s">
        <v>57</v>
      </c>
      <c r="V91" s="5" t="s">
        <v>61</v>
      </c>
      <c r="W91" s="5" t="s">
        <v>65</v>
      </c>
      <c r="X91" s="5" t="s">
        <v>67</v>
      </c>
      <c r="Y91" s="5" t="s">
        <v>44</v>
      </c>
      <c r="Z91" s="5"/>
      <c r="AA91" s="5"/>
      <c r="AB91" s="9" t="s">
        <v>44</v>
      </c>
      <c r="AC91" s="2" t="s">
        <v>46</v>
      </c>
      <c r="AD91" s="2">
        <v>0</v>
      </c>
      <c r="AE91" s="2" t="s">
        <v>48</v>
      </c>
      <c r="AF91" s="2" t="str">
        <f t="shared" si="1"/>
        <v>Normal</v>
      </c>
      <c r="AG91" s="5">
        <v>0</v>
      </c>
      <c r="AH91" s="5" t="str">
        <f>IF(AG91=0,"Normal",
IF(AND(T91="Yes",S91&gt;=2),"ALD",
IF(AND(T91="Yes",S91&gt;=2,O91&gt;N91),"ALD",
IF(AND(T91="No",S91&gt;=2),"ALD",
IF(AND(G91&gt;=25,OR(T91="No",AND(T91="Yes",S91&lt;1))),"NAFLD",
IF(AND(N91&gt;O91,N91&gt;40,S91&lt;1),"NAFLD",
IF(AND(T91="Yes",S91&lt;1,G91&gt;=25,N91&gt;O91),"NAFLD",
IF(OR(P91&gt;1.2,Q91&gt;0.3),"Hyperbilirubinemia",
"Others"))))))))</f>
        <v>Normal</v>
      </c>
      <c r="AI91" s="5" t="str">
        <f>IF(AG91=0,"Normal",
IF(AND(T91="Yes",S91&gt;=2),"ALD (Confirmed)",
IF(AND(T91="Yes",S91&gt;=2,O91&gt;N91),"ALD (Confirmed)",
IF(AND(T91="No",S91&gt;=2),"ALD (Probable)",
IF(AND(G91&gt;=25,OR(T91="No",AND(T91="Yes",S91&lt;1))),"NAFLD",
IF(AND(N91&gt;O91,N91&gt;40,S91&lt;1),"NAFLD",
IF(AND(T91="Yes",S91&lt;1,G91&gt;=25,N91&gt;O91),"NAFLD",
IF(OR(P91&gt;1.2,Q91&gt;0.3),"Hyperbilirubinemia",
"Others"))))))))</f>
        <v>Normal</v>
      </c>
      <c r="AJ91" s="5">
        <v>11</v>
      </c>
      <c r="AK91" s="5" t="s">
        <v>34</v>
      </c>
    </row>
    <row r="92" spans="1:37" ht="43.2" x14ac:dyDescent="0.3">
      <c r="A92" s="5">
        <v>95</v>
      </c>
      <c r="B92" s="5" t="s">
        <v>39</v>
      </c>
      <c r="C92" s="5">
        <v>42</v>
      </c>
      <c r="D92" s="2">
        <v>22</v>
      </c>
      <c r="E92" s="5">
        <v>163</v>
      </c>
      <c r="F92" s="5">
        <v>72</v>
      </c>
      <c r="G92" s="6">
        <v>27.099251006812452</v>
      </c>
      <c r="H92" s="9" t="s">
        <v>42</v>
      </c>
      <c r="I92" s="2">
        <v>32</v>
      </c>
      <c r="J92" s="5" t="s">
        <v>44</v>
      </c>
      <c r="K92" s="5" t="s">
        <v>44</v>
      </c>
      <c r="L92" s="5" t="s">
        <v>44</v>
      </c>
      <c r="M92" s="5" t="s">
        <v>44</v>
      </c>
      <c r="N92" s="5">
        <v>22.9</v>
      </c>
      <c r="O92" s="5">
        <v>56.9</v>
      </c>
      <c r="P92" s="5">
        <v>1.06</v>
      </c>
      <c r="Q92" s="5">
        <v>0.17</v>
      </c>
      <c r="R92" s="5">
        <v>0.89</v>
      </c>
      <c r="S92" s="8">
        <v>2.4847161572052401</v>
      </c>
      <c r="T92" s="5" t="s">
        <v>44</v>
      </c>
      <c r="U92" s="5"/>
      <c r="V92" s="5"/>
      <c r="W92" s="5"/>
      <c r="X92" s="5"/>
      <c r="Y92" s="5" t="s">
        <v>44</v>
      </c>
      <c r="Z92" s="5"/>
      <c r="AA92" s="5"/>
      <c r="AB92" s="9" t="s">
        <v>44</v>
      </c>
      <c r="AC92" s="2" t="s">
        <v>47</v>
      </c>
      <c r="AD92" s="2">
        <v>0</v>
      </c>
      <c r="AE92" s="2" t="s">
        <v>49</v>
      </c>
      <c r="AF92" s="2" t="str">
        <f t="shared" si="1"/>
        <v>Abnormal</v>
      </c>
      <c r="AG92" s="5">
        <v>1</v>
      </c>
      <c r="AH92" s="5" t="str">
        <f>IF(AG92=0,"Normal",
IF(AND(T92="Yes",S92&gt;=2),"ALD",
IF(AND(T92="Yes",S92&gt;=2,O92&gt;N92),"ALD",
IF(AND(T92="No",S92&gt;=2),"ALD",
IF(AND(G92&gt;=25,OR(T92="No",AND(T92="Yes",S92&lt;1))),"NAFLD",
IF(AND(N92&gt;O92,N92&gt;40,S92&lt;1),"NAFLD",
IF(AND(T92="Yes",S92&lt;1,G92&gt;=25,N92&gt;O92),"NAFLD",
IF(OR(P92&gt;1.2,Q92&gt;0.3),"Hyperbilirubinemia",
"Others"))))))))</f>
        <v>ALD</v>
      </c>
      <c r="AI92" s="5" t="str">
        <f>IF(AG92=0,"Normal",
IF(AND(T92="Yes",S92&gt;=2),"ALD (Confirmed)",
IF(AND(T92="Yes",S92&gt;=2,O92&gt;N92),"ALD (Confirmed)",
IF(AND(T92="No",S92&gt;=2),"ALD (Probable)",
IF(AND(G92&gt;=25,OR(T92="No",AND(T92="Yes",S92&lt;1))),"NAFLD",
IF(AND(N92&gt;O92,N92&gt;40,S92&lt;1),"NAFLD",
IF(AND(T92="Yes",S92&lt;1,G92&gt;=25,N92&gt;O92),"NAFLD",
IF(OR(P92&gt;1.2,Q92&gt;0.3),"Hyperbilirubinemia",
"Others"))))))))</f>
        <v>ALD (Probable)</v>
      </c>
      <c r="AJ92" s="5">
        <v>14</v>
      </c>
      <c r="AK92" s="5" t="s">
        <v>34</v>
      </c>
    </row>
    <row r="93" spans="1:37" ht="43.2" x14ac:dyDescent="0.3">
      <c r="A93" s="5">
        <v>96</v>
      </c>
      <c r="B93" s="5" t="s">
        <v>39</v>
      </c>
      <c r="C93" s="5">
        <v>47</v>
      </c>
      <c r="D93" s="2">
        <v>22</v>
      </c>
      <c r="E93" s="5">
        <v>158</v>
      </c>
      <c r="F93" s="5">
        <v>68</v>
      </c>
      <c r="G93" s="6">
        <v>27.239224483255889</v>
      </c>
      <c r="H93" s="9" t="s">
        <v>42</v>
      </c>
      <c r="I93" s="2">
        <v>34</v>
      </c>
      <c r="J93" s="5" t="s">
        <v>44</v>
      </c>
      <c r="K93" s="5" t="s">
        <v>44</v>
      </c>
      <c r="L93" s="5" t="s">
        <v>44</v>
      </c>
      <c r="M93" s="5" t="s">
        <v>44</v>
      </c>
      <c r="N93" s="5">
        <v>24.7</v>
      </c>
      <c r="O93" s="5">
        <v>35.200000000000003</v>
      </c>
      <c r="P93" s="5">
        <v>0.42</v>
      </c>
      <c r="Q93" s="5">
        <v>0.13</v>
      </c>
      <c r="R93" s="5">
        <v>0.28999999999999998</v>
      </c>
      <c r="S93" s="8">
        <v>1.4251012145748989</v>
      </c>
      <c r="T93" s="5" t="s">
        <v>45</v>
      </c>
      <c r="U93" s="5" t="s">
        <v>57</v>
      </c>
      <c r="V93" s="5" t="s">
        <v>60</v>
      </c>
      <c r="W93" s="5" t="s">
        <v>65</v>
      </c>
      <c r="X93" s="5" t="s">
        <v>68</v>
      </c>
      <c r="Y93" s="5" t="s">
        <v>44</v>
      </c>
      <c r="Z93" s="5"/>
      <c r="AA93" s="5"/>
      <c r="AB93" s="9" t="s">
        <v>44</v>
      </c>
      <c r="AC93" s="2" t="s">
        <v>47</v>
      </c>
      <c r="AD93" s="2">
        <v>0</v>
      </c>
      <c r="AE93" s="2" t="s">
        <v>49</v>
      </c>
      <c r="AF93" s="2" t="str">
        <f t="shared" si="1"/>
        <v>Normal</v>
      </c>
      <c r="AG93" s="5">
        <v>0</v>
      </c>
      <c r="AH93" s="5" t="str">
        <f>IF(AG93=0,"Normal",
IF(AND(T93="Yes",S93&gt;=2),"ALD",
IF(AND(T93="Yes",S93&gt;=2,O93&gt;N93),"ALD",
IF(AND(T93="No",S93&gt;=2),"ALD",
IF(AND(G93&gt;=25,OR(T93="No",AND(T93="Yes",S93&lt;1))),"NAFLD",
IF(AND(N93&gt;O93,N93&gt;40,S93&lt;1),"NAFLD",
IF(AND(T93="Yes",S93&lt;1,G93&gt;=25,N93&gt;O93),"NAFLD",
IF(OR(P93&gt;1.2,Q93&gt;0.3),"Hyperbilirubinemia",
"Others"))))))))</f>
        <v>Normal</v>
      </c>
      <c r="AI93" s="5" t="str">
        <f>IF(AG93=0,"Normal",
IF(AND(T93="Yes",S93&gt;=2),"ALD (Confirmed)",
IF(AND(T93="Yes",S93&gt;=2,O93&gt;N93),"ALD (Confirmed)",
IF(AND(T93="No",S93&gt;=2),"ALD (Probable)",
IF(AND(G93&gt;=25,OR(T93="No",AND(T93="Yes",S93&lt;1))),"NAFLD",
IF(AND(N93&gt;O93,N93&gt;40,S93&lt;1),"NAFLD",
IF(AND(T93="Yes",S93&lt;1,G93&gt;=25,N93&gt;O93),"NAFLD",
IF(OR(P93&gt;1.2,Q93&gt;0.3),"Hyperbilirubinemia",
"Others"))))))))</f>
        <v>Normal</v>
      </c>
      <c r="AJ93" s="5">
        <v>23</v>
      </c>
      <c r="AK93" s="5" t="s">
        <v>35</v>
      </c>
    </row>
    <row r="94" spans="1:37" ht="43.2" x14ac:dyDescent="0.3">
      <c r="A94" s="5">
        <v>97</v>
      </c>
      <c r="B94" s="5" t="s">
        <v>39</v>
      </c>
      <c r="C94" s="5">
        <v>35</v>
      </c>
      <c r="D94" s="2">
        <v>14</v>
      </c>
      <c r="E94" s="5">
        <v>168</v>
      </c>
      <c r="F94" s="5">
        <v>75</v>
      </c>
      <c r="G94" s="6">
        <v>26.573129251700678</v>
      </c>
      <c r="H94" s="9" t="s">
        <v>42</v>
      </c>
      <c r="I94" s="2">
        <v>32</v>
      </c>
      <c r="J94" s="5" t="s">
        <v>44</v>
      </c>
      <c r="K94" s="5" t="s">
        <v>44</v>
      </c>
      <c r="L94" s="5" t="s">
        <v>44</v>
      </c>
      <c r="M94" s="5" t="s">
        <v>44</v>
      </c>
      <c r="N94" s="5">
        <v>43.3</v>
      </c>
      <c r="O94" s="5">
        <v>37.6</v>
      </c>
      <c r="P94" s="5">
        <v>0.24</v>
      </c>
      <c r="Q94" s="5">
        <v>0.06</v>
      </c>
      <c r="R94" s="5">
        <v>0.18</v>
      </c>
      <c r="S94" s="8">
        <v>0.86836027713625874</v>
      </c>
      <c r="T94" s="5" t="s">
        <v>44</v>
      </c>
      <c r="U94" s="5"/>
      <c r="V94" s="5"/>
      <c r="W94" s="5"/>
      <c r="X94" s="5"/>
      <c r="Y94" s="5" t="s">
        <v>44</v>
      </c>
      <c r="Z94" s="5"/>
      <c r="AA94" s="5"/>
      <c r="AB94" s="9" t="s">
        <v>44</v>
      </c>
      <c r="AC94" s="2" t="s">
        <v>46</v>
      </c>
      <c r="AD94" s="2">
        <v>0</v>
      </c>
      <c r="AE94" s="2" t="s">
        <v>48</v>
      </c>
      <c r="AF94" s="2" t="str">
        <f t="shared" si="1"/>
        <v>Normal</v>
      </c>
      <c r="AG94" s="5">
        <v>0</v>
      </c>
      <c r="AH94" s="5" t="str">
        <f>IF(AG94=0,"Normal",
IF(AND(T94="Yes",S94&gt;=2),"ALD",
IF(AND(T94="Yes",S94&gt;=2,O94&gt;N94),"ALD",
IF(AND(T94="No",S94&gt;=2),"ALD",
IF(AND(G94&gt;=25,OR(T94="No",AND(T94="Yes",S94&lt;1))),"NAFLD",
IF(AND(N94&gt;O94,N94&gt;40,S94&lt;1),"NAFLD",
IF(AND(T94="Yes",S94&lt;1,G94&gt;=25,N94&gt;O94),"NAFLD",
IF(OR(P94&gt;1.2,Q94&gt;0.3),"Hyperbilirubinemia",
"Others"))))))))</f>
        <v>Normal</v>
      </c>
      <c r="AI94" s="5" t="str">
        <f>IF(AG94=0,"Normal",
IF(AND(T94="Yes",S94&gt;=2),"ALD (Confirmed)",
IF(AND(T94="Yes",S94&gt;=2,O94&gt;N94),"ALD (Confirmed)",
IF(AND(T94="No",S94&gt;=2),"ALD (Probable)",
IF(AND(G94&gt;=25,OR(T94="No",AND(T94="Yes",S94&lt;1))),"NAFLD",
IF(AND(N94&gt;O94,N94&gt;40,S94&lt;1),"NAFLD",
IF(AND(T94="Yes",S94&lt;1,G94&gt;=25,N94&gt;O94),"NAFLD",
IF(OR(P94&gt;1.2,Q94&gt;0.3),"Hyperbilirubinemia",
"Others"))))))))</f>
        <v>Normal</v>
      </c>
      <c r="AJ94" s="5">
        <v>12</v>
      </c>
      <c r="AK94" s="5" t="s">
        <v>34</v>
      </c>
    </row>
    <row r="95" spans="1:37" ht="28.8" x14ac:dyDescent="0.3">
      <c r="A95" s="5">
        <v>98</v>
      </c>
      <c r="B95" s="5" t="s">
        <v>39</v>
      </c>
      <c r="C95" s="5">
        <v>42</v>
      </c>
      <c r="D95" s="2">
        <v>22</v>
      </c>
      <c r="E95" s="5">
        <v>160</v>
      </c>
      <c r="F95" s="5">
        <v>68</v>
      </c>
      <c r="G95" s="6">
        <v>26.562500000000004</v>
      </c>
      <c r="H95" s="9" t="s">
        <v>42</v>
      </c>
      <c r="I95" s="2">
        <v>34</v>
      </c>
      <c r="J95" s="5" t="s">
        <v>44</v>
      </c>
      <c r="K95" s="5" t="s">
        <v>44</v>
      </c>
      <c r="L95" s="5" t="s">
        <v>44</v>
      </c>
      <c r="M95" s="5" t="s">
        <v>45</v>
      </c>
      <c r="N95" s="5">
        <v>17.579999999999998</v>
      </c>
      <c r="O95" s="5">
        <v>30.3</v>
      </c>
      <c r="P95" s="5">
        <v>0.47</v>
      </c>
      <c r="Q95" s="5">
        <v>0.06</v>
      </c>
      <c r="R95" s="5">
        <v>0.41</v>
      </c>
      <c r="S95" s="8">
        <v>1.7235494880546076</v>
      </c>
      <c r="T95" s="5" t="s">
        <v>44</v>
      </c>
      <c r="U95" s="5"/>
      <c r="V95" s="5"/>
      <c r="W95" s="5"/>
      <c r="X95" s="5"/>
      <c r="Y95" s="5" t="s">
        <v>44</v>
      </c>
      <c r="Z95" s="5"/>
      <c r="AA95" s="5"/>
      <c r="AB95" s="9" t="s">
        <v>44</v>
      </c>
      <c r="AC95" s="2" t="s">
        <v>47</v>
      </c>
      <c r="AD95" s="2">
        <v>0</v>
      </c>
      <c r="AE95" s="2" t="s">
        <v>49</v>
      </c>
      <c r="AF95" s="2" t="str">
        <f t="shared" si="1"/>
        <v>Normal</v>
      </c>
      <c r="AG95" s="5">
        <v>0</v>
      </c>
      <c r="AH95" s="5" t="str">
        <f>IF(AG95=0,"Normal",
IF(AND(T95="Yes",S95&gt;=2),"ALD",
IF(AND(T95="Yes",S95&gt;=2,O95&gt;N95),"ALD",
IF(AND(T95="No",S95&gt;=2),"ALD",
IF(AND(G95&gt;=25,OR(T95="No",AND(T95="Yes",S95&lt;1))),"NAFLD",
IF(AND(N95&gt;O95,N95&gt;40,S95&lt;1),"NAFLD",
IF(AND(T95="Yes",S95&lt;1,G95&gt;=25,N95&gt;O95),"NAFLD",
IF(OR(P95&gt;1.2,Q95&gt;0.3),"Hyperbilirubinemia",
"Others"))))))))</f>
        <v>Normal</v>
      </c>
      <c r="AI95" s="5" t="str">
        <f>IF(AG95=0,"Normal",
IF(AND(T95="Yes",S95&gt;=2),"ALD (Confirmed)",
IF(AND(T95="Yes",S95&gt;=2,O95&gt;N95),"ALD (Confirmed)",
IF(AND(T95="No",S95&gt;=2),"ALD (Probable)",
IF(AND(G95&gt;=25,OR(T95="No",AND(T95="Yes",S95&lt;1))),"NAFLD",
IF(AND(N95&gt;O95,N95&gt;40,S95&lt;1),"NAFLD",
IF(AND(T95="Yes",S95&lt;1,G95&gt;=25,N95&gt;O95),"NAFLD",
IF(OR(P95&gt;1.2,Q95&gt;0.3),"Hyperbilirubinemia",
"Others"))))))))</f>
        <v>Normal</v>
      </c>
      <c r="AJ95" s="5">
        <v>11</v>
      </c>
      <c r="AK95" s="5" t="s">
        <v>34</v>
      </c>
    </row>
    <row r="96" spans="1:37" ht="43.2" x14ac:dyDescent="0.3">
      <c r="A96" s="5">
        <v>99</v>
      </c>
      <c r="B96" s="5" t="s">
        <v>39</v>
      </c>
      <c r="C96" s="5">
        <v>39</v>
      </c>
      <c r="D96" s="2">
        <v>15</v>
      </c>
      <c r="E96" s="5">
        <v>175</v>
      </c>
      <c r="F96" s="5">
        <v>83</v>
      </c>
      <c r="G96" s="6">
        <v>27.102040816326532</v>
      </c>
      <c r="H96" s="9" t="s">
        <v>42</v>
      </c>
      <c r="I96" s="2">
        <v>36</v>
      </c>
      <c r="J96" s="5" t="s">
        <v>44</v>
      </c>
      <c r="K96" s="5" t="s">
        <v>44</v>
      </c>
      <c r="L96" s="5" t="s">
        <v>44</v>
      </c>
      <c r="M96" s="5" t="s">
        <v>44</v>
      </c>
      <c r="N96" s="5">
        <v>19</v>
      </c>
      <c r="O96" s="5">
        <v>35.200000000000003</v>
      </c>
      <c r="P96" s="5">
        <v>0.71</v>
      </c>
      <c r="Q96" s="5">
        <v>0.12</v>
      </c>
      <c r="R96" s="5">
        <v>0.59</v>
      </c>
      <c r="S96" s="8">
        <v>1.8526315789473686</v>
      </c>
      <c r="T96" s="5" t="s">
        <v>44</v>
      </c>
      <c r="U96" s="5"/>
      <c r="V96" s="5"/>
      <c r="W96" s="5"/>
      <c r="X96" s="5"/>
      <c r="Y96" s="5" t="s">
        <v>44</v>
      </c>
      <c r="Z96" s="5"/>
      <c r="AA96" s="5"/>
      <c r="AB96" s="9" t="s">
        <v>44</v>
      </c>
      <c r="AC96" s="2" t="s">
        <v>46</v>
      </c>
      <c r="AD96" s="2">
        <v>0</v>
      </c>
      <c r="AE96" s="2" t="s">
        <v>49</v>
      </c>
      <c r="AF96" s="2" t="str">
        <f t="shared" si="1"/>
        <v>Normal</v>
      </c>
      <c r="AG96" s="5">
        <v>0</v>
      </c>
      <c r="AH96" s="5" t="str">
        <f>IF(AG96=0,"Normal",
IF(AND(T96="Yes",S96&gt;=2),"ALD",
IF(AND(T96="Yes",S96&gt;=2,O96&gt;N96),"ALD",
IF(AND(T96="No",S96&gt;=2),"ALD",
IF(AND(G96&gt;=25,OR(T96="No",AND(T96="Yes",S96&lt;1))),"NAFLD",
IF(AND(N96&gt;O96,N96&gt;40,S96&lt;1),"NAFLD",
IF(AND(T96="Yes",S96&lt;1,G96&gt;=25,N96&gt;O96),"NAFLD",
IF(OR(P96&gt;1.2,Q96&gt;0.3),"Hyperbilirubinemia",
"Others"))))))))</f>
        <v>Normal</v>
      </c>
      <c r="AI96" s="5" t="str">
        <f>IF(AG96=0,"Normal",
IF(AND(T96="Yes",S96&gt;=2),"ALD (Confirmed)",
IF(AND(T96="Yes",S96&gt;=2,O96&gt;N96),"ALD (Confirmed)",
IF(AND(T96="No",S96&gt;=2),"ALD (Probable)",
IF(AND(G96&gt;=25,OR(T96="No",AND(T96="Yes",S96&lt;1))),"NAFLD",
IF(AND(N96&gt;O96,N96&gt;40,S96&lt;1),"NAFLD",
IF(AND(T96="Yes",S96&lt;1,G96&gt;=25,N96&gt;O96),"NAFLD",
IF(OR(P96&gt;1.2,Q96&gt;0.3),"Hyperbilirubinemia",
"Others"))))))))</f>
        <v>Normal</v>
      </c>
      <c r="AJ96" s="5">
        <v>12</v>
      </c>
      <c r="AK96" s="5" t="s">
        <v>34</v>
      </c>
    </row>
    <row r="97" spans="1:37" ht="28.8" x14ac:dyDescent="0.3">
      <c r="A97" s="5">
        <v>100</v>
      </c>
      <c r="B97" s="5" t="s">
        <v>39</v>
      </c>
      <c r="C97" s="5">
        <v>56</v>
      </c>
      <c r="D97" s="2">
        <v>29</v>
      </c>
      <c r="E97" s="5">
        <v>140</v>
      </c>
      <c r="F97" s="5">
        <v>70</v>
      </c>
      <c r="G97" s="6">
        <v>35.714285714285715</v>
      </c>
      <c r="H97" s="9" t="s">
        <v>41</v>
      </c>
      <c r="I97" s="2">
        <v>30</v>
      </c>
      <c r="J97" s="5" t="s">
        <v>44</v>
      </c>
      <c r="K97" s="5" t="s">
        <v>44</v>
      </c>
      <c r="L97" s="5" t="s">
        <v>44</v>
      </c>
      <c r="M97" s="5" t="s">
        <v>44</v>
      </c>
      <c r="N97" s="5">
        <v>21.06</v>
      </c>
      <c r="O97" s="5">
        <v>36.979999999999997</v>
      </c>
      <c r="P97" s="5">
        <v>0.19</v>
      </c>
      <c r="Q97" s="5">
        <v>0.05</v>
      </c>
      <c r="R97" s="5">
        <v>0.14000000000000001</v>
      </c>
      <c r="S97" s="8">
        <v>1.7559354226020891</v>
      </c>
      <c r="T97" s="5" t="s">
        <v>44</v>
      </c>
      <c r="U97" s="5"/>
      <c r="V97" s="5"/>
      <c r="W97" s="5"/>
      <c r="X97" s="5"/>
      <c r="Y97" s="5" t="s">
        <v>44</v>
      </c>
      <c r="Z97" s="5"/>
      <c r="AA97" s="5"/>
      <c r="AB97" s="9" t="s">
        <v>44</v>
      </c>
      <c r="AC97" s="2" t="s">
        <v>47</v>
      </c>
      <c r="AD97" s="2">
        <v>0</v>
      </c>
      <c r="AE97" s="2" t="s">
        <v>49</v>
      </c>
      <c r="AF97" s="2" t="str">
        <f t="shared" si="1"/>
        <v>Normal</v>
      </c>
      <c r="AG97" s="5">
        <v>0</v>
      </c>
      <c r="AH97" s="5" t="str">
        <f>IF(AG97=0,"Normal",
IF(AND(T97="Yes",S97&gt;=2),"ALD",
IF(AND(T97="Yes",S97&gt;=2,O97&gt;N97),"ALD",
IF(AND(T97="No",S97&gt;=2),"ALD",
IF(AND(G97&gt;=25,OR(T97="No",AND(T97="Yes",S97&lt;1))),"NAFLD",
IF(AND(N97&gt;O97,N97&gt;40,S97&lt;1),"NAFLD",
IF(AND(T97="Yes",S97&lt;1,G97&gt;=25,N97&gt;O97),"NAFLD",
IF(OR(P97&gt;1.2,Q97&gt;0.3),"Hyperbilirubinemia",
"Others"))))))))</f>
        <v>Normal</v>
      </c>
      <c r="AI97" s="5" t="str">
        <f>IF(AG97=0,"Normal",
IF(AND(T97="Yes",S97&gt;=2),"ALD (Confirmed)",
IF(AND(T97="Yes",S97&gt;=2,O97&gt;N97),"ALD (Confirmed)",
IF(AND(T97="No",S97&gt;=2),"ALD (Probable)",
IF(AND(G97&gt;=25,OR(T97="No",AND(T97="Yes",S97&lt;1))),"NAFLD",
IF(AND(N97&gt;O97,N97&gt;40,S97&lt;1),"NAFLD",
IF(AND(T97="Yes",S97&lt;1,G97&gt;=25,N97&gt;O97),"NAFLD",
IF(OR(P97&gt;1.2,Q97&gt;0.3),"Hyperbilirubinemia",
"Others"))))))))</f>
        <v>Normal</v>
      </c>
      <c r="AJ97" s="5">
        <v>22</v>
      </c>
      <c r="AK97" s="5" t="s">
        <v>35</v>
      </c>
    </row>
    <row r="98" spans="1:37" ht="43.2" x14ac:dyDescent="0.3">
      <c r="A98" s="5">
        <v>101</v>
      </c>
      <c r="B98" s="5" t="s">
        <v>39</v>
      </c>
      <c r="C98" s="5">
        <v>44</v>
      </c>
      <c r="D98" s="2">
        <v>17</v>
      </c>
      <c r="E98" s="5">
        <v>159</v>
      </c>
      <c r="F98" s="5">
        <v>68</v>
      </c>
      <c r="G98" s="6">
        <v>26.897670187097031</v>
      </c>
      <c r="H98" s="9" t="s">
        <v>42</v>
      </c>
      <c r="I98" s="2">
        <v>34</v>
      </c>
      <c r="J98" s="5" t="s">
        <v>44</v>
      </c>
      <c r="K98" s="5" t="s">
        <v>44</v>
      </c>
      <c r="L98" s="5" t="s">
        <v>44</v>
      </c>
      <c r="M98" s="5" t="s">
        <v>44</v>
      </c>
      <c r="N98" s="5">
        <v>85.6</v>
      </c>
      <c r="O98" s="5">
        <v>32.799999999999997</v>
      </c>
      <c r="P98" s="5">
        <v>0.67</v>
      </c>
      <c r="Q98" s="5">
        <v>0.12</v>
      </c>
      <c r="R98" s="5">
        <v>0.55000000000000004</v>
      </c>
      <c r="S98" s="8">
        <v>0.38317757009345793</v>
      </c>
      <c r="T98" s="5" t="s">
        <v>45</v>
      </c>
      <c r="U98" s="5" t="s">
        <v>55</v>
      </c>
      <c r="V98" s="5" t="s">
        <v>60</v>
      </c>
      <c r="W98" s="5" t="s">
        <v>65</v>
      </c>
      <c r="X98" s="5" t="s">
        <v>68</v>
      </c>
      <c r="Y98" s="5" t="s">
        <v>44</v>
      </c>
      <c r="Z98" s="5"/>
      <c r="AA98" s="5"/>
      <c r="AB98" s="9" t="s">
        <v>44</v>
      </c>
      <c r="AC98" s="2" t="s">
        <v>46</v>
      </c>
      <c r="AD98" s="2">
        <v>0</v>
      </c>
      <c r="AE98" s="2" t="s">
        <v>49</v>
      </c>
      <c r="AF98" s="2" t="str">
        <f t="shared" si="1"/>
        <v>Abnormal</v>
      </c>
      <c r="AG98" s="5">
        <v>1</v>
      </c>
      <c r="AH98" s="5" t="str">
        <f>IF(AG98=0,"Normal",
IF(AND(T98="Yes",S98&gt;=2),"ALD",
IF(AND(T98="Yes",S98&gt;=2,O98&gt;N98),"ALD",
IF(AND(T98="No",S98&gt;=2),"ALD",
IF(AND(G98&gt;=25,OR(T98="No",AND(T98="Yes",S98&lt;1))),"NAFLD",
IF(AND(N98&gt;O98,N98&gt;40,S98&lt;1),"NAFLD",
IF(AND(T98="Yes",S98&lt;1,G98&gt;=25,N98&gt;O98),"NAFLD",
IF(OR(P98&gt;1.2,Q98&gt;0.3),"Hyperbilirubinemia",
"Others"))))))))</f>
        <v>NAFLD</v>
      </c>
      <c r="AI98" s="5" t="str">
        <f>IF(AG98=0,"Normal",
IF(AND(T98="Yes",S98&gt;=2),"ALD (Confirmed)",
IF(AND(T98="Yes",S98&gt;=2,O98&gt;N98),"ALD (Confirmed)",
IF(AND(T98="No",S98&gt;=2),"ALD (Probable)",
IF(AND(G98&gt;=25,OR(T98="No",AND(T98="Yes",S98&lt;1))),"NAFLD",
IF(AND(N98&gt;O98,N98&gt;40,S98&lt;1),"NAFLD",
IF(AND(T98="Yes",S98&lt;1,G98&gt;=25,N98&gt;O98),"NAFLD",
IF(OR(P98&gt;1.2,Q98&gt;0.3),"Hyperbilirubinemia",
"Others"))))))))</f>
        <v>NAFLD</v>
      </c>
      <c r="AJ98" s="5">
        <v>31</v>
      </c>
      <c r="AK98" s="5" t="s">
        <v>35</v>
      </c>
    </row>
    <row r="99" spans="1:37" ht="43.2" x14ac:dyDescent="0.3">
      <c r="A99" s="5">
        <v>102</v>
      </c>
      <c r="B99" s="5" t="s">
        <v>39</v>
      </c>
      <c r="C99" s="5">
        <v>43</v>
      </c>
      <c r="D99" s="2">
        <v>17</v>
      </c>
      <c r="E99" s="5">
        <v>160</v>
      </c>
      <c r="F99" s="5">
        <v>56</v>
      </c>
      <c r="G99" s="6">
        <v>21.875000000000004</v>
      </c>
      <c r="H99" s="9" t="s">
        <v>33</v>
      </c>
      <c r="I99" s="2">
        <v>32</v>
      </c>
      <c r="J99" s="5" t="s">
        <v>44</v>
      </c>
      <c r="K99" s="5" t="s">
        <v>44</v>
      </c>
      <c r="L99" s="5" t="s">
        <v>44</v>
      </c>
      <c r="M99" s="5" t="s">
        <v>44</v>
      </c>
      <c r="N99" s="5">
        <v>11.3</v>
      </c>
      <c r="O99" s="5">
        <v>36.200000000000003</v>
      </c>
      <c r="P99" s="5">
        <v>0.54</v>
      </c>
      <c r="Q99" s="5">
        <v>0.14000000000000001</v>
      </c>
      <c r="R99" s="5">
        <v>0.4</v>
      </c>
      <c r="S99" s="8">
        <v>3.2035398230088497</v>
      </c>
      <c r="T99" s="5" t="s">
        <v>44</v>
      </c>
      <c r="U99" s="5"/>
      <c r="V99" s="5"/>
      <c r="W99" s="5"/>
      <c r="X99" s="5"/>
      <c r="Y99" s="5" t="s">
        <v>44</v>
      </c>
      <c r="Z99" s="5"/>
      <c r="AA99" s="5"/>
      <c r="AB99" s="9" t="s">
        <v>44</v>
      </c>
      <c r="AC99" s="2" t="s">
        <v>46</v>
      </c>
      <c r="AD99" s="2">
        <v>0</v>
      </c>
      <c r="AE99" s="2" t="s">
        <v>52</v>
      </c>
      <c r="AF99" s="2" t="str">
        <f t="shared" si="1"/>
        <v>Normal</v>
      </c>
      <c r="AG99" s="5">
        <v>0</v>
      </c>
      <c r="AH99" s="5" t="str">
        <f>IF(AG99=0,"Normal",
IF(AND(T99="Yes",S99&gt;=2),"ALD",
IF(AND(T99="Yes",S99&gt;=2,O99&gt;N99),"ALD",
IF(AND(T99="No",S99&gt;=2),"ALD",
IF(AND(G99&gt;=25,OR(T99="No",AND(T99="Yes",S99&lt;1))),"NAFLD",
IF(AND(N99&gt;O99,N99&gt;40,S99&lt;1),"NAFLD",
IF(AND(T99="Yes",S99&lt;1,G99&gt;=25,N99&gt;O99),"NAFLD",
IF(OR(P99&gt;1.2,Q99&gt;0.3),"Hyperbilirubinemia",
"Others"))))))))</f>
        <v>Normal</v>
      </c>
      <c r="AI99" s="5" t="str">
        <f>IF(AG99=0,"Normal",
IF(AND(T99="Yes",S99&gt;=2),"ALD (Confirmed)",
IF(AND(T99="Yes",S99&gt;=2,O99&gt;N99),"ALD (Confirmed)",
IF(AND(T99="No",S99&gt;=2),"ALD (Probable)",
IF(AND(G99&gt;=25,OR(T99="No",AND(T99="Yes",S99&lt;1))),"NAFLD",
IF(AND(N99&gt;O99,N99&gt;40,S99&lt;1),"NAFLD",
IF(AND(T99="Yes",S99&lt;1,G99&gt;=25,N99&gt;O99),"NAFLD",
IF(OR(P99&gt;1.2,Q99&gt;0.3),"Hyperbilirubinemia",
"Others"))))))))</f>
        <v>Normal</v>
      </c>
      <c r="AJ99" s="5">
        <v>7</v>
      </c>
      <c r="AK99" s="5" t="s">
        <v>34</v>
      </c>
    </row>
    <row r="100" spans="1:37" ht="43.2" x14ac:dyDescent="0.3">
      <c r="A100" s="5">
        <v>103</v>
      </c>
      <c r="B100" s="5" t="s">
        <v>39</v>
      </c>
      <c r="C100" s="5">
        <v>36</v>
      </c>
      <c r="D100" s="2">
        <v>9</v>
      </c>
      <c r="E100" s="5">
        <v>183</v>
      </c>
      <c r="F100" s="5">
        <v>94</v>
      </c>
      <c r="G100" s="6">
        <v>28.068918152229088</v>
      </c>
      <c r="H100" s="9" t="s">
        <v>42</v>
      </c>
      <c r="I100" s="2">
        <v>40</v>
      </c>
      <c r="J100" s="5" t="s">
        <v>44</v>
      </c>
      <c r="K100" s="5" t="s">
        <v>44</v>
      </c>
      <c r="L100" s="5" t="s">
        <v>44</v>
      </c>
      <c r="M100" s="5" t="s">
        <v>44</v>
      </c>
      <c r="N100" s="5">
        <v>37.4</v>
      </c>
      <c r="O100" s="5">
        <v>41</v>
      </c>
      <c r="P100" s="5">
        <v>1.44</v>
      </c>
      <c r="Q100" s="5">
        <v>0.16</v>
      </c>
      <c r="R100" s="5">
        <v>1.28</v>
      </c>
      <c r="S100" s="8">
        <v>1.0962566844919786</v>
      </c>
      <c r="T100" s="5" t="s">
        <v>44</v>
      </c>
      <c r="U100" s="5"/>
      <c r="V100" s="5"/>
      <c r="W100" s="5"/>
      <c r="X100" s="5"/>
      <c r="Y100" s="5" t="s">
        <v>44</v>
      </c>
      <c r="Z100" s="5"/>
      <c r="AA100" s="5"/>
      <c r="AB100" s="9" t="s">
        <v>44</v>
      </c>
      <c r="AC100" s="2" t="s">
        <v>46</v>
      </c>
      <c r="AD100" s="2">
        <v>0</v>
      </c>
      <c r="AE100" s="2" t="s">
        <v>52</v>
      </c>
      <c r="AF100" s="2" t="str">
        <f t="shared" si="1"/>
        <v>Abnormal</v>
      </c>
      <c r="AG100" s="5">
        <v>1</v>
      </c>
      <c r="AH100" s="5" t="str">
        <f>IF(AG100=0,"Normal",
IF(AND(T100="Yes",S100&gt;=2),"ALD",
IF(AND(T100="Yes",S100&gt;=2,O100&gt;N100),"ALD",
IF(AND(T100="No",S100&gt;=2),"ALD",
IF(AND(G100&gt;=25,OR(T100="No",AND(T100="Yes",S100&lt;1))),"NAFLD",
IF(AND(N100&gt;O100,N100&gt;40,S100&lt;1),"NAFLD",
IF(AND(T100="Yes",S100&lt;1,G100&gt;=25,N100&gt;O100),"NAFLD",
IF(OR(P100&gt;1.2,Q100&gt;0.3),"Hyperbilirubinemia",
"Others"))))))))</f>
        <v>NAFLD</v>
      </c>
      <c r="AI100" s="5" t="str">
        <f>IF(AG100=0,"Normal",
IF(AND(T100="Yes",S100&gt;=2),"ALD (Confirmed)",
IF(AND(T100="Yes",S100&gt;=2,O100&gt;N100),"ALD (Confirmed)",
IF(AND(T100="No",S100&gt;=2),"ALD (Probable)",
IF(AND(G100&gt;=25,OR(T100="No",AND(T100="Yes",S100&lt;1))),"NAFLD",
IF(AND(N100&gt;O100,N100&gt;40,S100&lt;1),"NAFLD",
IF(AND(T100="Yes",S100&lt;1,G100&gt;=25,N100&gt;O100),"NAFLD",
IF(OR(P100&gt;1.2,Q100&gt;0.3),"Hyperbilirubinemia",
"Others"))))))))</f>
        <v>NAFLD</v>
      </c>
      <c r="AJ100" s="5">
        <v>22</v>
      </c>
      <c r="AK100" s="5" t="s">
        <v>35</v>
      </c>
    </row>
    <row r="101" spans="1:37" ht="43.2" x14ac:dyDescent="0.3">
      <c r="A101" s="5">
        <v>104</v>
      </c>
      <c r="B101" s="5" t="s">
        <v>39</v>
      </c>
      <c r="C101" s="5">
        <v>38</v>
      </c>
      <c r="D101" s="2">
        <v>15</v>
      </c>
      <c r="E101" s="5">
        <v>176</v>
      </c>
      <c r="F101" s="5">
        <v>82</v>
      </c>
      <c r="G101" s="6">
        <v>26.472107438016529</v>
      </c>
      <c r="H101" s="9" t="s">
        <v>42</v>
      </c>
      <c r="I101" s="2">
        <v>32</v>
      </c>
      <c r="J101" s="5" t="s">
        <v>44</v>
      </c>
      <c r="K101" s="5" t="s">
        <v>44</v>
      </c>
      <c r="L101" s="5" t="s">
        <v>44</v>
      </c>
      <c r="M101" s="5" t="s">
        <v>44</v>
      </c>
      <c r="N101" s="5">
        <v>22</v>
      </c>
      <c r="O101" s="5">
        <v>45.9</v>
      </c>
      <c r="P101" s="5">
        <v>0.76</v>
      </c>
      <c r="Q101" s="5">
        <v>0.22</v>
      </c>
      <c r="R101" s="5">
        <v>0.54</v>
      </c>
      <c r="S101" s="8">
        <v>2.0863636363636364</v>
      </c>
      <c r="T101" s="5" t="s">
        <v>45</v>
      </c>
      <c r="U101" s="5" t="s">
        <v>56</v>
      </c>
      <c r="V101" s="5" t="s">
        <v>62</v>
      </c>
      <c r="W101" s="5" t="s">
        <v>65</v>
      </c>
      <c r="X101" s="5" t="s">
        <v>68</v>
      </c>
      <c r="Y101" s="5" t="s">
        <v>45</v>
      </c>
      <c r="Z101" s="5" t="s">
        <v>77</v>
      </c>
      <c r="AA101" s="5" t="s">
        <v>78</v>
      </c>
      <c r="AB101" s="9" t="s">
        <v>44</v>
      </c>
      <c r="AC101" s="2" t="s">
        <v>46</v>
      </c>
      <c r="AD101" s="2">
        <v>0</v>
      </c>
      <c r="AE101" s="2" t="s">
        <v>48</v>
      </c>
      <c r="AF101" s="2" t="str">
        <f t="shared" si="1"/>
        <v>Abnormal</v>
      </c>
      <c r="AG101" s="5">
        <v>1</v>
      </c>
      <c r="AH101" s="5" t="str">
        <f>IF(AG101=0,"Normal",
IF(AND(T101="Yes",S101&gt;=2),"ALD",
IF(AND(T101="Yes",S101&gt;=2,O101&gt;N101),"ALD",
IF(AND(T101="No",S101&gt;=2),"ALD",
IF(AND(G101&gt;=25,OR(T101="No",AND(T101="Yes",S101&lt;1))),"NAFLD",
IF(AND(N101&gt;O101,N101&gt;40,S101&lt;1),"NAFLD",
IF(AND(T101="Yes",S101&lt;1,G101&gt;=25,N101&gt;O101),"NAFLD",
IF(OR(P101&gt;1.2,Q101&gt;0.3),"Hyperbilirubinemia",
"Others"))))))))</f>
        <v>ALD</v>
      </c>
      <c r="AI101" s="5" t="str">
        <f>IF(AG101=0,"Normal",
IF(AND(T101="Yes",S101&gt;=2),"ALD (Confirmed)",
IF(AND(T101="Yes",S101&gt;=2,O101&gt;N101),"ALD (Confirmed)",
IF(AND(T101="No",S101&gt;=2),"ALD (Probable)",
IF(AND(G101&gt;=25,OR(T101="No",AND(T101="Yes",S101&lt;1))),"NAFLD",
IF(AND(N101&gt;O101,N101&gt;40,S101&lt;1),"NAFLD",
IF(AND(T101="Yes",S101&lt;1,G101&gt;=25,N101&gt;O101),"NAFLD",
IF(OR(P101&gt;1.2,Q101&gt;0.3),"Hyperbilirubinemia",
"Others"))))))))</f>
        <v>ALD (Confirmed)</v>
      </c>
      <c r="AJ101" s="5">
        <v>28</v>
      </c>
      <c r="AK101" s="5" t="s">
        <v>35</v>
      </c>
    </row>
    <row r="102" spans="1:37" ht="28.8" x14ac:dyDescent="0.3">
      <c r="A102" s="5">
        <v>105</v>
      </c>
      <c r="B102" s="5" t="s">
        <v>39</v>
      </c>
      <c r="C102" s="5">
        <v>43</v>
      </c>
      <c r="D102" s="2">
        <v>20</v>
      </c>
      <c r="E102" s="5">
        <v>162</v>
      </c>
      <c r="F102" s="5">
        <v>43</v>
      </c>
      <c r="G102" s="6">
        <v>16.384697454656301</v>
      </c>
      <c r="H102" s="9" t="s">
        <v>43</v>
      </c>
      <c r="I102" s="2">
        <v>28</v>
      </c>
      <c r="J102" s="5" t="s">
        <v>44</v>
      </c>
      <c r="K102" s="5" t="s">
        <v>44</v>
      </c>
      <c r="L102" s="5" t="s">
        <v>44</v>
      </c>
      <c r="M102" s="5" t="s">
        <v>44</v>
      </c>
      <c r="N102" s="5">
        <v>39.1</v>
      </c>
      <c r="O102" s="5">
        <v>35.200000000000003</v>
      </c>
      <c r="P102" s="5">
        <v>0.3</v>
      </c>
      <c r="Q102" s="5">
        <v>0.2</v>
      </c>
      <c r="R102" s="5">
        <v>0.1</v>
      </c>
      <c r="S102" s="8">
        <v>0.90025575447570338</v>
      </c>
      <c r="T102" s="5" t="s">
        <v>45</v>
      </c>
      <c r="U102" s="5" t="s">
        <v>55</v>
      </c>
      <c r="V102" s="5" t="s">
        <v>59</v>
      </c>
      <c r="W102" s="5" t="s">
        <v>65</v>
      </c>
      <c r="X102" s="5" t="s">
        <v>68</v>
      </c>
      <c r="Y102" s="5" t="s">
        <v>44</v>
      </c>
      <c r="Z102" s="5"/>
      <c r="AA102" s="5"/>
      <c r="AB102" s="9" t="s">
        <v>44</v>
      </c>
      <c r="AC102" s="2" t="s">
        <v>47</v>
      </c>
      <c r="AD102" s="2">
        <v>0</v>
      </c>
      <c r="AE102" s="2" t="s">
        <v>50</v>
      </c>
      <c r="AF102" s="2" t="str">
        <f t="shared" si="1"/>
        <v>Normal</v>
      </c>
      <c r="AG102" s="5">
        <v>0</v>
      </c>
      <c r="AH102" s="5" t="str">
        <f>IF(AG102=0,"Normal",
IF(AND(T102="Yes",S102&gt;=2),"ALD",
IF(AND(T102="Yes",S102&gt;=2,O102&gt;N102),"ALD",
IF(AND(T102="No",S102&gt;=2),"ALD",
IF(AND(G102&gt;=25,OR(T102="No",AND(T102="Yes",S102&lt;1))),"NAFLD",
IF(AND(N102&gt;O102,N102&gt;40,S102&lt;1),"NAFLD",
IF(AND(T102="Yes",S102&lt;1,G102&gt;=25,N102&gt;O102),"NAFLD",
IF(OR(P102&gt;1.2,Q102&gt;0.3),"Hyperbilirubinemia",
"Others"))))))))</f>
        <v>Normal</v>
      </c>
      <c r="AI102" s="5" t="str">
        <f>IF(AG102=0,"Normal",
IF(AND(T102="Yes",S102&gt;=2),"ALD (Confirmed)",
IF(AND(T102="Yes",S102&gt;=2,O102&gt;N102),"ALD (Confirmed)",
IF(AND(T102="No",S102&gt;=2),"ALD (Probable)",
IF(AND(G102&gt;=25,OR(T102="No",AND(T102="Yes",S102&lt;1))),"NAFLD",
IF(AND(N102&gt;O102,N102&gt;40,S102&lt;1),"NAFLD",
IF(AND(T102="Yes",S102&lt;1,G102&gt;=25,N102&gt;O102),"NAFLD",
IF(OR(P102&gt;1.2,Q102&gt;0.3),"Hyperbilirubinemia",
"Others"))))))))</f>
        <v>Normal</v>
      </c>
      <c r="AJ102" s="5">
        <v>25</v>
      </c>
      <c r="AK102" s="5" t="s">
        <v>35</v>
      </c>
    </row>
    <row r="103" spans="1:37" ht="43.2" x14ac:dyDescent="0.3">
      <c r="A103" s="5">
        <v>106</v>
      </c>
      <c r="B103" s="5" t="s">
        <v>39</v>
      </c>
      <c r="C103" s="5">
        <v>43</v>
      </c>
      <c r="D103" s="2">
        <v>26</v>
      </c>
      <c r="E103" s="5">
        <v>171</v>
      </c>
      <c r="F103" s="5">
        <v>42</v>
      </c>
      <c r="G103" s="6">
        <v>14.363393864778907</v>
      </c>
      <c r="H103" s="9" t="s">
        <v>43</v>
      </c>
      <c r="I103" s="2">
        <v>32</v>
      </c>
      <c r="J103" s="5" t="s">
        <v>45</v>
      </c>
      <c r="K103" s="5" t="s">
        <v>44</v>
      </c>
      <c r="L103" s="5" t="s">
        <v>44</v>
      </c>
      <c r="M103" s="5" t="s">
        <v>45</v>
      </c>
      <c r="N103" s="5">
        <v>57.12</v>
      </c>
      <c r="O103" s="5">
        <v>50.04</v>
      </c>
      <c r="P103" s="5">
        <v>0.42</v>
      </c>
      <c r="Q103" s="5">
        <v>0.09</v>
      </c>
      <c r="R103" s="5">
        <v>0.33</v>
      </c>
      <c r="S103" s="8">
        <v>0.87605042016806722</v>
      </c>
      <c r="T103" s="5" t="s">
        <v>45</v>
      </c>
      <c r="U103" s="5" t="s">
        <v>56</v>
      </c>
      <c r="V103" s="5" t="s">
        <v>60</v>
      </c>
      <c r="W103" s="5" t="s">
        <v>65</v>
      </c>
      <c r="X103" s="5" t="s">
        <v>68</v>
      </c>
      <c r="Y103" s="5" t="s">
        <v>44</v>
      </c>
      <c r="Z103" s="5"/>
      <c r="AA103" s="5"/>
      <c r="AB103" s="9" t="s">
        <v>44</v>
      </c>
      <c r="AC103" s="2" t="s">
        <v>46</v>
      </c>
      <c r="AD103" s="2">
        <v>0</v>
      </c>
      <c r="AE103" s="2" t="s">
        <v>49</v>
      </c>
      <c r="AF103" s="2" t="str">
        <f t="shared" si="1"/>
        <v>Abnormal</v>
      </c>
      <c r="AG103" s="5">
        <v>1</v>
      </c>
      <c r="AH103" s="5" t="str">
        <f>IF(AG103=0,"Normal",
IF(AND(T103="Yes",S103&gt;=2),"ALD",
IF(AND(T103="Yes",S103&gt;=2,O103&gt;N103),"ALD",
IF(AND(T103="No",S103&gt;=2),"ALD",
IF(AND(G103&gt;=25,OR(T103="No",AND(T103="Yes",S103&lt;1))),"NAFLD",
IF(AND(N103&gt;O103,N103&gt;40,S103&lt;1),"NAFLD",
IF(AND(T103="Yes",S103&lt;1,G103&gt;=25,N103&gt;O103),"NAFLD",
IF(OR(P103&gt;1.2,Q103&gt;0.3),"Hyperbilirubinemia",
"Others"))))))))</f>
        <v>NAFLD</v>
      </c>
      <c r="AI103" s="5" t="str">
        <f>IF(AG103=0,"Normal",
IF(AND(T103="Yes",S103&gt;=2),"ALD (Confirmed)",
IF(AND(T103="Yes",S103&gt;=2,O103&gt;N103),"ALD (Confirmed)",
IF(AND(T103="No",S103&gt;=2),"ALD (Probable)",
IF(AND(G103&gt;=25,OR(T103="No",AND(T103="Yes",S103&lt;1))),"NAFLD",
IF(AND(N103&gt;O103,N103&gt;40,S103&lt;1),"NAFLD",
IF(AND(T103="Yes",S103&lt;1,G103&gt;=25,N103&gt;O103),"NAFLD",
IF(OR(P103&gt;1.2,Q103&gt;0.3),"Hyperbilirubinemia",
"Others"))))))))</f>
        <v>NAFLD</v>
      </c>
      <c r="AJ103" s="5">
        <v>28</v>
      </c>
      <c r="AK103" s="5" t="s">
        <v>35</v>
      </c>
    </row>
    <row r="104" spans="1:37" ht="43.2" x14ac:dyDescent="0.3">
      <c r="A104" s="5">
        <v>107</v>
      </c>
      <c r="B104" s="5" t="s">
        <v>39</v>
      </c>
      <c r="C104" s="5">
        <v>26</v>
      </c>
      <c r="D104" s="2">
        <v>4</v>
      </c>
      <c r="E104" s="5">
        <v>175</v>
      </c>
      <c r="F104" s="5">
        <v>62</v>
      </c>
      <c r="G104" s="6">
        <v>20.244897959183671</v>
      </c>
      <c r="H104" s="9" t="s">
        <v>33</v>
      </c>
      <c r="I104" s="2">
        <v>30</v>
      </c>
      <c r="J104" s="5" t="s">
        <v>44</v>
      </c>
      <c r="K104" s="5" t="s">
        <v>44</v>
      </c>
      <c r="L104" s="5" t="s">
        <v>44</v>
      </c>
      <c r="M104" s="5" t="s">
        <v>44</v>
      </c>
      <c r="N104" s="5">
        <v>27.18</v>
      </c>
      <c r="O104" s="5">
        <v>44.19</v>
      </c>
      <c r="P104" s="5">
        <v>0.17</v>
      </c>
      <c r="Q104" s="5">
        <v>7.0000000000000007E-2</v>
      </c>
      <c r="R104" s="5">
        <v>0.1</v>
      </c>
      <c r="S104" s="8">
        <v>1.6258278145695364</v>
      </c>
      <c r="T104" s="5" t="s">
        <v>44</v>
      </c>
      <c r="U104" s="5"/>
      <c r="V104" s="5"/>
      <c r="W104" s="5"/>
      <c r="X104" s="5"/>
      <c r="Y104" s="5" t="s">
        <v>44</v>
      </c>
      <c r="Z104" s="5"/>
      <c r="AA104" s="5"/>
      <c r="AB104" s="9" t="s">
        <v>44</v>
      </c>
      <c r="AC104" s="2" t="s">
        <v>46</v>
      </c>
      <c r="AD104" s="2">
        <v>0</v>
      </c>
      <c r="AE104" s="2" t="s">
        <v>49</v>
      </c>
      <c r="AF104" s="2" t="str">
        <f t="shared" si="1"/>
        <v>Abnormal</v>
      </c>
      <c r="AG104" s="5">
        <v>1</v>
      </c>
      <c r="AH104" s="5" t="str">
        <f>IF(AG104=0,"Normal",
IF(AND(T104="Yes",S104&gt;=2),"ALD",
IF(AND(T104="Yes",S104&gt;=2,O104&gt;N104),"ALD",
IF(AND(T104="No",S104&gt;=2),"ALD",
IF(AND(G104&gt;=25,OR(T104="No",AND(T104="Yes",S104&lt;1))),"NAFLD",
IF(AND(N104&gt;O104,N104&gt;40,S104&lt;1),"NAFLD",
IF(AND(T104="Yes",S104&lt;1,G104&gt;=25,N104&gt;O104),"NAFLD",
IF(OR(P104&gt;1.2,Q104&gt;0.3),"Hyperbilirubinemia",
"Others"))))))))</f>
        <v>Others</v>
      </c>
      <c r="AI104" s="5" t="str">
        <f>IF(AG104=0,"Normal",
IF(AND(T104="Yes",S104&gt;=2),"ALD (Confirmed)",
IF(AND(T104="Yes",S104&gt;=2,O104&gt;N104),"ALD (Confirmed)",
IF(AND(T104="No",S104&gt;=2),"ALD (Probable)",
IF(AND(G104&gt;=25,OR(T104="No",AND(T104="Yes",S104&lt;1))),"NAFLD",
IF(AND(N104&gt;O104,N104&gt;40,S104&lt;1),"NAFLD",
IF(AND(T104="Yes",S104&lt;1,G104&gt;=25,N104&gt;O104),"NAFLD",
IF(OR(P104&gt;1.2,Q104&gt;0.3),"Hyperbilirubinemia",
"Others"))))))))</f>
        <v>Others</v>
      </c>
      <c r="AJ104" s="5">
        <v>9</v>
      </c>
      <c r="AK104" s="5" t="s">
        <v>34</v>
      </c>
    </row>
    <row r="105" spans="1:37" ht="28.8" x14ac:dyDescent="0.3">
      <c r="A105" s="5">
        <v>108</v>
      </c>
      <c r="B105" s="5" t="s">
        <v>39</v>
      </c>
      <c r="C105" s="5">
        <v>43</v>
      </c>
      <c r="D105" s="2">
        <v>17</v>
      </c>
      <c r="E105" s="5">
        <v>173</v>
      </c>
      <c r="F105" s="5">
        <v>65</v>
      </c>
      <c r="G105" s="6">
        <v>21.718066089745729</v>
      </c>
      <c r="H105" s="9" t="s">
        <v>33</v>
      </c>
      <c r="I105" s="2">
        <v>30</v>
      </c>
      <c r="J105" s="5" t="s">
        <v>44</v>
      </c>
      <c r="K105" s="5" t="s">
        <v>44</v>
      </c>
      <c r="L105" s="5" t="s">
        <v>44</v>
      </c>
      <c r="M105" s="5" t="s">
        <v>44</v>
      </c>
      <c r="N105" s="5">
        <v>19.5</v>
      </c>
      <c r="O105" s="5">
        <v>35.200000000000003</v>
      </c>
      <c r="P105" s="5">
        <v>0.56000000000000005</v>
      </c>
      <c r="Q105" s="5">
        <v>7.0000000000000007E-2</v>
      </c>
      <c r="R105" s="5">
        <v>0.49</v>
      </c>
      <c r="S105" s="8">
        <v>1.8051282051282054</v>
      </c>
      <c r="T105" s="5" t="s">
        <v>44</v>
      </c>
      <c r="U105" s="5"/>
      <c r="V105" s="5"/>
      <c r="W105" s="5"/>
      <c r="X105" s="5"/>
      <c r="Y105" s="5" t="s">
        <v>44</v>
      </c>
      <c r="Z105" s="5"/>
      <c r="AA105" s="5"/>
      <c r="AB105" s="9" t="s">
        <v>44</v>
      </c>
      <c r="AC105" s="2" t="s">
        <v>47</v>
      </c>
      <c r="AD105" s="2">
        <v>0</v>
      </c>
      <c r="AE105" s="2" t="s">
        <v>48</v>
      </c>
      <c r="AF105" s="2" t="str">
        <f t="shared" si="1"/>
        <v>Normal</v>
      </c>
      <c r="AG105" s="5">
        <v>0</v>
      </c>
      <c r="AH105" s="5" t="str">
        <f>IF(AG105=0,"Normal",
IF(AND(T105="Yes",S105&gt;=2),"ALD",
IF(AND(T105="Yes",S105&gt;=2,O105&gt;N105),"ALD",
IF(AND(T105="No",S105&gt;=2),"ALD",
IF(AND(G105&gt;=25,OR(T105="No",AND(T105="Yes",S105&lt;1))),"NAFLD",
IF(AND(N105&gt;O105,N105&gt;40,S105&lt;1),"NAFLD",
IF(AND(T105="Yes",S105&lt;1,G105&gt;=25,N105&gt;O105),"NAFLD",
IF(OR(P105&gt;1.2,Q105&gt;0.3),"Hyperbilirubinemia",
"Others"))))))))</f>
        <v>Normal</v>
      </c>
      <c r="AI105" s="5" t="str">
        <f>IF(AG105=0,"Normal",
IF(AND(T105="Yes",S105&gt;=2),"ALD (Confirmed)",
IF(AND(T105="Yes",S105&gt;=2,O105&gt;N105),"ALD (Confirmed)",
IF(AND(T105="No",S105&gt;=2),"ALD (Probable)",
IF(AND(G105&gt;=25,OR(T105="No",AND(T105="Yes",S105&lt;1))),"NAFLD",
IF(AND(N105&gt;O105,N105&gt;40,S105&lt;1),"NAFLD",
IF(AND(T105="Yes",S105&lt;1,G105&gt;=25,N105&gt;O105),"NAFLD",
IF(OR(P105&gt;1.2,Q105&gt;0.3),"Hyperbilirubinemia",
"Others"))))))))</f>
        <v>Normal</v>
      </c>
      <c r="AJ105" s="5">
        <v>2</v>
      </c>
      <c r="AK105" s="5" t="s">
        <v>34</v>
      </c>
    </row>
    <row r="106" spans="1:37" ht="86.4" x14ac:dyDescent="0.3">
      <c r="A106" s="5">
        <v>109</v>
      </c>
      <c r="B106" s="5" t="s">
        <v>39</v>
      </c>
      <c r="C106" s="5">
        <v>41</v>
      </c>
      <c r="D106" s="2">
        <v>20</v>
      </c>
      <c r="E106" s="5">
        <v>172</v>
      </c>
      <c r="F106" s="5">
        <v>85</v>
      </c>
      <c r="G106" s="6">
        <v>28.731746890210925</v>
      </c>
      <c r="H106" s="9" t="s">
        <v>42</v>
      </c>
      <c r="I106" s="2">
        <v>36</v>
      </c>
      <c r="J106" s="5" t="s">
        <v>44</v>
      </c>
      <c r="K106" s="5" t="s">
        <v>44</v>
      </c>
      <c r="L106" s="5" t="s">
        <v>44</v>
      </c>
      <c r="M106" s="5" t="s">
        <v>44</v>
      </c>
      <c r="N106" s="5">
        <v>31.5</v>
      </c>
      <c r="O106" s="5">
        <v>36.200000000000003</v>
      </c>
      <c r="P106" s="5">
        <v>0.69</v>
      </c>
      <c r="Q106" s="5">
        <v>0.16</v>
      </c>
      <c r="R106" s="5">
        <v>0.53</v>
      </c>
      <c r="S106" s="8">
        <v>1.1492063492063493</v>
      </c>
      <c r="T106" s="5" t="s">
        <v>45</v>
      </c>
      <c r="U106" s="5" t="s">
        <v>55</v>
      </c>
      <c r="V106" s="5" t="s">
        <v>63</v>
      </c>
      <c r="W106" s="5" t="s">
        <v>65</v>
      </c>
      <c r="X106" s="5" t="s">
        <v>69</v>
      </c>
      <c r="Y106" s="5" t="s">
        <v>44</v>
      </c>
      <c r="Z106" s="5"/>
      <c r="AA106" s="5"/>
      <c r="AB106" s="9" t="s">
        <v>44</v>
      </c>
      <c r="AC106" s="2" t="s">
        <v>46</v>
      </c>
      <c r="AD106" s="2">
        <v>0</v>
      </c>
      <c r="AE106" s="2" t="s">
        <v>49</v>
      </c>
      <c r="AF106" s="2" t="str">
        <f t="shared" si="1"/>
        <v>Normal</v>
      </c>
      <c r="AG106" s="5">
        <v>0</v>
      </c>
      <c r="AH106" s="5" t="str">
        <f>IF(AG106=0,"Normal",
IF(AND(T106="Yes",S106&gt;=2),"ALD",
IF(AND(T106="Yes",S106&gt;=2,O106&gt;N106),"ALD",
IF(AND(T106="No",S106&gt;=2),"ALD",
IF(AND(G106&gt;=25,OR(T106="No",AND(T106="Yes",S106&lt;1))),"NAFLD",
IF(AND(N106&gt;O106,N106&gt;40,S106&lt;1),"NAFLD",
IF(AND(T106="Yes",S106&lt;1,G106&gt;=25,N106&gt;O106),"NAFLD",
IF(OR(P106&gt;1.2,Q106&gt;0.3),"Hyperbilirubinemia",
"Others"))))))))</f>
        <v>Normal</v>
      </c>
      <c r="AI106" s="5" t="str">
        <f>IF(AG106=0,"Normal",
IF(AND(T106="Yes",S106&gt;=2),"ALD (Confirmed)",
IF(AND(T106="Yes",S106&gt;=2,O106&gt;N106),"ALD (Confirmed)",
IF(AND(T106="No",S106&gt;=2),"ALD (Probable)",
IF(AND(G106&gt;=25,OR(T106="No",AND(T106="Yes",S106&lt;1))),"NAFLD",
IF(AND(N106&gt;O106,N106&gt;40,S106&lt;1),"NAFLD",
IF(AND(T106="Yes",S106&lt;1,G106&gt;=25,N106&gt;O106),"NAFLD",
IF(OR(P106&gt;1.2,Q106&gt;0.3),"Hyperbilirubinemia",
"Others"))))))))</f>
        <v>Normal</v>
      </c>
      <c r="AJ106" s="5">
        <v>36</v>
      </c>
      <c r="AK106" s="5" t="s">
        <v>35</v>
      </c>
    </row>
    <row r="107" spans="1:37" ht="43.2" x14ac:dyDescent="0.3">
      <c r="A107" s="5">
        <v>110</v>
      </c>
      <c r="B107" s="5" t="s">
        <v>39</v>
      </c>
      <c r="C107" s="5">
        <v>49</v>
      </c>
      <c r="D107" s="2">
        <v>22</v>
      </c>
      <c r="E107" s="5">
        <v>162</v>
      </c>
      <c r="F107" s="5">
        <v>80</v>
      </c>
      <c r="G107" s="6">
        <v>30.483158055174517</v>
      </c>
      <c r="H107" s="9" t="s">
        <v>41</v>
      </c>
      <c r="I107" s="2">
        <v>34</v>
      </c>
      <c r="J107" s="5" t="s">
        <v>44</v>
      </c>
      <c r="K107" s="5" t="s">
        <v>44</v>
      </c>
      <c r="L107" s="5" t="s">
        <v>44</v>
      </c>
      <c r="M107" s="5" t="s">
        <v>44</v>
      </c>
      <c r="N107" s="5">
        <v>56.08</v>
      </c>
      <c r="O107" s="5">
        <v>51.2</v>
      </c>
      <c r="P107" s="5">
        <v>0.6</v>
      </c>
      <c r="Q107" s="5">
        <v>0.11</v>
      </c>
      <c r="R107" s="5">
        <v>0.49</v>
      </c>
      <c r="S107" s="8">
        <v>0.91298145506419404</v>
      </c>
      <c r="T107" s="5" t="s">
        <v>44</v>
      </c>
      <c r="U107" s="5"/>
      <c r="V107" s="5"/>
      <c r="W107" s="5"/>
      <c r="X107" s="5"/>
      <c r="Y107" s="5" t="s">
        <v>44</v>
      </c>
      <c r="Z107" s="5"/>
      <c r="AA107" s="5"/>
      <c r="AB107" s="9" t="s">
        <v>44</v>
      </c>
      <c r="AC107" s="2" t="s">
        <v>46</v>
      </c>
      <c r="AD107" s="2">
        <v>0</v>
      </c>
      <c r="AE107" s="2" t="s">
        <v>49</v>
      </c>
      <c r="AF107" s="2" t="str">
        <f t="shared" si="1"/>
        <v>Abnormal</v>
      </c>
      <c r="AG107" s="5">
        <v>1</v>
      </c>
      <c r="AH107" s="5" t="str">
        <f>IF(AG107=0,"Normal",
IF(AND(T107="Yes",S107&gt;=2),"ALD",
IF(AND(T107="Yes",S107&gt;=2,O107&gt;N107),"ALD",
IF(AND(T107="No",S107&gt;=2),"ALD",
IF(AND(G107&gt;=25,OR(T107="No",AND(T107="Yes",S107&lt;1))),"NAFLD",
IF(AND(N107&gt;O107,N107&gt;40,S107&lt;1),"NAFLD",
IF(AND(T107="Yes",S107&lt;1,G107&gt;=25,N107&gt;O107),"NAFLD",
IF(OR(P107&gt;1.2,Q107&gt;0.3),"Hyperbilirubinemia",
"Others"))))))))</f>
        <v>NAFLD</v>
      </c>
      <c r="AI107" s="5" t="str">
        <f>IF(AG107=0,"Normal",
IF(AND(T107="Yes",S107&gt;=2),"ALD (Confirmed)",
IF(AND(T107="Yes",S107&gt;=2,O107&gt;N107),"ALD (Confirmed)",
IF(AND(T107="No",S107&gt;=2),"ALD (Probable)",
IF(AND(G107&gt;=25,OR(T107="No",AND(T107="Yes",S107&lt;1))),"NAFLD",
IF(AND(N107&gt;O107,N107&gt;40,S107&lt;1),"NAFLD",
IF(AND(T107="Yes",S107&lt;1,G107&gt;=25,N107&gt;O107),"NAFLD",
IF(OR(P107&gt;1.2,Q107&gt;0.3),"Hyperbilirubinemia",
"Others"))))))))</f>
        <v>NAFLD</v>
      </c>
      <c r="AJ107" s="5">
        <v>29</v>
      </c>
      <c r="AK107" s="5" t="s">
        <v>35</v>
      </c>
    </row>
    <row r="108" spans="1:37" ht="43.2" x14ac:dyDescent="0.3">
      <c r="A108" s="5">
        <v>111</v>
      </c>
      <c r="B108" s="5" t="s">
        <v>39</v>
      </c>
      <c r="C108" s="5">
        <v>31</v>
      </c>
      <c r="D108" s="2">
        <v>6</v>
      </c>
      <c r="E108" s="5">
        <v>175</v>
      </c>
      <c r="F108" s="5">
        <v>80</v>
      </c>
      <c r="G108" s="6">
        <v>26.122448979591837</v>
      </c>
      <c r="H108" s="9" t="s">
        <v>42</v>
      </c>
      <c r="I108" s="2">
        <v>34</v>
      </c>
      <c r="J108" s="5" t="s">
        <v>44</v>
      </c>
      <c r="K108" s="5" t="s">
        <v>44</v>
      </c>
      <c r="L108" s="5" t="s">
        <v>44</v>
      </c>
      <c r="M108" s="5" t="s">
        <v>44</v>
      </c>
      <c r="N108" s="5">
        <v>21.2</v>
      </c>
      <c r="O108" s="5">
        <v>36.200000000000003</v>
      </c>
      <c r="P108" s="5">
        <v>0.67</v>
      </c>
      <c r="Q108" s="5">
        <v>0.18</v>
      </c>
      <c r="R108" s="5">
        <v>0.49</v>
      </c>
      <c r="S108" s="8">
        <v>1.7075471698113209</v>
      </c>
      <c r="T108" s="5" t="s">
        <v>44</v>
      </c>
      <c r="U108" s="5"/>
      <c r="V108" s="5"/>
      <c r="W108" s="5"/>
      <c r="X108" s="5"/>
      <c r="Y108" s="5" t="s">
        <v>44</v>
      </c>
      <c r="Z108" s="5"/>
      <c r="AA108" s="5"/>
      <c r="AB108" s="9" t="s">
        <v>44</v>
      </c>
      <c r="AC108" s="2" t="s">
        <v>46</v>
      </c>
      <c r="AD108" s="2">
        <v>0</v>
      </c>
      <c r="AE108" s="2" t="s">
        <v>48</v>
      </c>
      <c r="AF108" s="2" t="str">
        <f t="shared" si="1"/>
        <v>Normal</v>
      </c>
      <c r="AG108" s="5">
        <v>0</v>
      </c>
      <c r="AH108" s="5" t="str">
        <f>IF(AG108=0,"Normal",
IF(AND(T108="Yes",S108&gt;=2),"ALD",
IF(AND(T108="Yes",S108&gt;=2,O108&gt;N108),"ALD",
IF(AND(T108="No",S108&gt;=2),"ALD",
IF(AND(G108&gt;=25,OR(T108="No",AND(T108="Yes",S108&lt;1))),"NAFLD",
IF(AND(N108&gt;O108,N108&gt;40,S108&lt;1),"NAFLD",
IF(AND(T108="Yes",S108&lt;1,G108&gt;=25,N108&gt;O108),"NAFLD",
IF(OR(P108&gt;1.2,Q108&gt;0.3),"Hyperbilirubinemia",
"Others"))))))))</f>
        <v>Normal</v>
      </c>
      <c r="AI108" s="5" t="str">
        <f>IF(AG108=0,"Normal",
IF(AND(T108="Yes",S108&gt;=2),"ALD (Confirmed)",
IF(AND(T108="Yes",S108&gt;=2,O108&gt;N108),"ALD (Confirmed)",
IF(AND(T108="No",S108&gt;=2),"ALD (Probable)",
IF(AND(G108&gt;=25,OR(T108="No",AND(T108="Yes",S108&lt;1))),"NAFLD",
IF(AND(N108&gt;O108,N108&gt;40,S108&lt;1),"NAFLD",
IF(AND(T108="Yes",S108&lt;1,G108&gt;=25,N108&gt;O108),"NAFLD",
IF(OR(P108&gt;1.2,Q108&gt;0.3),"Hyperbilirubinemia",
"Others"))))))))</f>
        <v>Normal</v>
      </c>
      <c r="AJ108" s="5">
        <v>8</v>
      </c>
      <c r="AK108" s="5" t="s">
        <v>34</v>
      </c>
    </row>
    <row r="109" spans="1:37" ht="28.8" x14ac:dyDescent="0.3">
      <c r="A109" s="5">
        <v>112</v>
      </c>
      <c r="B109" s="5" t="s">
        <v>39</v>
      </c>
      <c r="C109" s="5">
        <v>23</v>
      </c>
      <c r="D109" s="2">
        <v>1</v>
      </c>
      <c r="E109" s="5">
        <v>163</v>
      </c>
      <c r="F109" s="5">
        <v>61</v>
      </c>
      <c r="G109" s="6">
        <v>22.959087658549439</v>
      </c>
      <c r="H109" s="9" t="s">
        <v>33</v>
      </c>
      <c r="I109" s="2">
        <v>32</v>
      </c>
      <c r="J109" s="5" t="s">
        <v>44</v>
      </c>
      <c r="K109" s="5" t="s">
        <v>44</v>
      </c>
      <c r="L109" s="5" t="s">
        <v>44</v>
      </c>
      <c r="M109" s="5" t="s">
        <v>45</v>
      </c>
      <c r="N109" s="5">
        <v>21</v>
      </c>
      <c r="O109" s="5">
        <v>37.6</v>
      </c>
      <c r="P109" s="5">
        <v>0.68</v>
      </c>
      <c r="Q109" s="5">
        <v>0.13</v>
      </c>
      <c r="R109" s="5">
        <v>0.55000000000000004</v>
      </c>
      <c r="S109" s="8">
        <v>1.7904761904761906</v>
      </c>
      <c r="T109" s="5" t="s">
        <v>44</v>
      </c>
      <c r="U109" s="5"/>
      <c r="V109" s="5"/>
      <c r="W109" s="5"/>
      <c r="X109" s="5"/>
      <c r="Y109" s="5" t="s">
        <v>44</v>
      </c>
      <c r="Z109" s="5"/>
      <c r="AA109" s="5"/>
      <c r="AB109" s="9" t="s">
        <v>44</v>
      </c>
      <c r="AC109" s="2" t="s">
        <v>47</v>
      </c>
      <c r="AD109" s="2">
        <v>0</v>
      </c>
      <c r="AE109" s="2" t="s">
        <v>52</v>
      </c>
      <c r="AF109" s="2" t="str">
        <f t="shared" si="1"/>
        <v>Normal</v>
      </c>
      <c r="AG109" s="5">
        <v>0</v>
      </c>
      <c r="AH109" s="5" t="str">
        <f>IF(AG109=0,"Normal",
IF(AND(T109="Yes",S109&gt;=2),"ALD",
IF(AND(T109="Yes",S109&gt;=2,O109&gt;N109),"ALD",
IF(AND(T109="No",S109&gt;=2),"ALD",
IF(AND(G109&gt;=25,OR(T109="No",AND(T109="Yes",S109&lt;1))),"NAFLD",
IF(AND(N109&gt;O109,N109&gt;40,S109&lt;1),"NAFLD",
IF(AND(T109="Yes",S109&lt;1,G109&gt;=25,N109&gt;O109),"NAFLD",
IF(OR(P109&gt;1.2,Q109&gt;0.3),"Hyperbilirubinemia",
"Others"))))))))</f>
        <v>Normal</v>
      </c>
      <c r="AI109" s="5" t="str">
        <f>IF(AG109=0,"Normal",
IF(AND(T109="Yes",S109&gt;=2),"ALD (Confirmed)",
IF(AND(T109="Yes",S109&gt;=2,O109&gt;N109),"ALD (Confirmed)",
IF(AND(T109="No",S109&gt;=2),"ALD (Probable)",
IF(AND(G109&gt;=25,OR(T109="No",AND(T109="Yes",S109&lt;1))),"NAFLD",
IF(AND(N109&gt;O109,N109&gt;40,S109&lt;1),"NAFLD",
IF(AND(T109="Yes",S109&lt;1,G109&gt;=25,N109&gt;O109),"NAFLD",
IF(OR(P109&gt;1.2,Q109&gt;0.3),"Hyperbilirubinemia",
"Others"))))))))</f>
        <v>Normal</v>
      </c>
      <c r="AJ109" s="5">
        <v>4</v>
      </c>
      <c r="AK109" s="5" t="s">
        <v>34</v>
      </c>
    </row>
    <row r="110" spans="1:37" ht="28.8" x14ac:dyDescent="0.3">
      <c r="A110" s="5">
        <v>113</v>
      </c>
      <c r="B110" s="5" t="s">
        <v>39</v>
      </c>
      <c r="C110" s="5">
        <v>21</v>
      </c>
      <c r="D110" s="2">
        <v>2</v>
      </c>
      <c r="E110" s="5">
        <v>162</v>
      </c>
      <c r="F110" s="5">
        <v>69</v>
      </c>
      <c r="G110" s="6">
        <v>26.291723822588018</v>
      </c>
      <c r="H110" s="9" t="s">
        <v>42</v>
      </c>
      <c r="I110" s="2">
        <v>32</v>
      </c>
      <c r="J110" s="5" t="s">
        <v>44</v>
      </c>
      <c r="K110" s="5" t="s">
        <v>44</v>
      </c>
      <c r="L110" s="5" t="s">
        <v>44</v>
      </c>
      <c r="M110" s="5" t="s">
        <v>44</v>
      </c>
      <c r="N110" s="5">
        <v>20.100000000000001</v>
      </c>
      <c r="O110" s="5">
        <v>38.9</v>
      </c>
      <c r="P110" s="5">
        <v>0.51</v>
      </c>
      <c r="Q110" s="5">
        <v>0.08</v>
      </c>
      <c r="R110" s="5">
        <v>0.43</v>
      </c>
      <c r="S110" s="8">
        <v>1.9353233830845769</v>
      </c>
      <c r="T110" s="5" t="s">
        <v>44</v>
      </c>
      <c r="U110" s="5"/>
      <c r="V110" s="5"/>
      <c r="W110" s="5"/>
      <c r="X110" s="5"/>
      <c r="Y110" s="5" t="s">
        <v>44</v>
      </c>
      <c r="Z110" s="5"/>
      <c r="AA110" s="5"/>
      <c r="AB110" s="9" t="s">
        <v>44</v>
      </c>
      <c r="AC110" s="2" t="s">
        <v>47</v>
      </c>
      <c r="AD110" s="2">
        <v>0</v>
      </c>
      <c r="AE110" s="2" t="s">
        <v>48</v>
      </c>
      <c r="AF110" s="2" t="str">
        <f t="shared" si="1"/>
        <v>Normal</v>
      </c>
      <c r="AG110" s="5">
        <v>0</v>
      </c>
      <c r="AH110" s="5" t="str">
        <f>IF(AG110=0,"Normal",
IF(AND(T110="Yes",S110&gt;=2),"ALD",
IF(AND(T110="Yes",S110&gt;=2,O110&gt;N110),"ALD",
IF(AND(T110="No",S110&gt;=2),"ALD",
IF(AND(G110&gt;=25,OR(T110="No",AND(T110="Yes",S110&lt;1))),"NAFLD",
IF(AND(N110&gt;O110,N110&gt;40,S110&lt;1),"NAFLD",
IF(AND(T110="Yes",S110&lt;1,G110&gt;=25,N110&gt;O110),"NAFLD",
IF(OR(P110&gt;1.2,Q110&gt;0.3),"Hyperbilirubinemia",
"Others"))))))))</f>
        <v>Normal</v>
      </c>
      <c r="AI110" s="5" t="str">
        <f>IF(AG110=0,"Normal",
IF(AND(T110="Yes",S110&gt;=2),"ALD (Confirmed)",
IF(AND(T110="Yes",S110&gt;=2,O110&gt;N110),"ALD (Confirmed)",
IF(AND(T110="No",S110&gt;=2),"ALD (Probable)",
IF(AND(G110&gt;=25,OR(T110="No",AND(T110="Yes",S110&lt;1))),"NAFLD",
IF(AND(N110&gt;O110,N110&gt;40,S110&lt;1),"NAFLD",
IF(AND(T110="Yes",S110&lt;1,G110&gt;=25,N110&gt;O110),"NAFLD",
IF(OR(P110&gt;1.2,Q110&gt;0.3),"Hyperbilirubinemia",
"Others"))))))))</f>
        <v>Normal</v>
      </c>
      <c r="AJ110" s="5">
        <v>5</v>
      </c>
      <c r="AK110" s="5" t="s">
        <v>34</v>
      </c>
    </row>
    <row r="111" spans="1:37" ht="86.4" x14ac:dyDescent="0.3">
      <c r="A111" s="5">
        <v>114</v>
      </c>
      <c r="B111" s="5" t="s">
        <v>39</v>
      </c>
      <c r="C111" s="5">
        <v>42</v>
      </c>
      <c r="D111" s="2">
        <v>25</v>
      </c>
      <c r="E111" s="5">
        <v>173</v>
      </c>
      <c r="F111" s="5">
        <v>69</v>
      </c>
      <c r="G111" s="6">
        <v>23.054562464499316</v>
      </c>
      <c r="H111" s="9" t="s">
        <v>33</v>
      </c>
      <c r="I111" s="2">
        <v>32</v>
      </c>
      <c r="J111" s="5" t="s">
        <v>45</v>
      </c>
      <c r="K111" s="5" t="s">
        <v>44</v>
      </c>
      <c r="L111" s="5" t="s">
        <v>44</v>
      </c>
      <c r="M111" s="5" t="s">
        <v>45</v>
      </c>
      <c r="N111" s="5">
        <v>44.1</v>
      </c>
      <c r="O111" s="5">
        <v>35.9</v>
      </c>
      <c r="P111" s="5">
        <v>1.3</v>
      </c>
      <c r="Q111" s="5">
        <v>0.24</v>
      </c>
      <c r="R111" s="5">
        <v>1.06</v>
      </c>
      <c r="S111" s="8">
        <v>0.81405895691609975</v>
      </c>
      <c r="T111" s="5" t="s">
        <v>45</v>
      </c>
      <c r="U111" s="5" t="s">
        <v>58</v>
      </c>
      <c r="V111" s="5" t="s">
        <v>60</v>
      </c>
      <c r="W111" s="5" t="s">
        <v>65</v>
      </c>
      <c r="X111" s="5" t="s">
        <v>69</v>
      </c>
      <c r="Y111" s="5" t="s">
        <v>44</v>
      </c>
      <c r="Z111" s="5"/>
      <c r="AA111" s="5"/>
      <c r="AB111" s="9" t="s">
        <v>44</v>
      </c>
      <c r="AC111" s="2" t="s">
        <v>47</v>
      </c>
      <c r="AD111" s="2">
        <v>0</v>
      </c>
      <c r="AE111" s="2" t="s">
        <v>49</v>
      </c>
      <c r="AF111" s="2" t="str">
        <f t="shared" si="1"/>
        <v>Normal</v>
      </c>
      <c r="AG111" s="5">
        <v>0</v>
      </c>
      <c r="AH111" s="5" t="str">
        <f>IF(AG111=0,"Normal",
IF(AND(T111="Yes",S111&gt;=2),"ALD",
IF(AND(T111="Yes",S111&gt;=2,O111&gt;N111),"ALD",
IF(AND(T111="No",S111&gt;=2),"ALD",
IF(AND(G111&gt;=25,OR(T111="No",AND(T111="Yes",S111&lt;1))),"NAFLD",
IF(AND(N111&gt;O111,N111&gt;40,S111&lt;1),"NAFLD",
IF(AND(T111="Yes",S111&lt;1,G111&gt;=25,N111&gt;O111),"NAFLD",
IF(OR(P111&gt;1.2,Q111&gt;0.3),"Hyperbilirubinemia",
"Others"))))))))</f>
        <v>Normal</v>
      </c>
      <c r="AI111" s="5" t="str">
        <f>IF(AG111=0,"Normal",
IF(AND(T111="Yes",S111&gt;=2),"ALD (Confirmed)",
IF(AND(T111="Yes",S111&gt;=2,O111&gt;N111),"ALD (Confirmed)",
IF(AND(T111="No",S111&gt;=2),"ALD (Probable)",
IF(AND(G111&gt;=25,OR(T111="No",AND(T111="Yes",S111&lt;1))),"NAFLD",
IF(AND(N111&gt;O111,N111&gt;40,S111&lt;1),"NAFLD",
IF(AND(T111="Yes",S111&lt;1,G111&gt;=25,N111&gt;O111),"NAFLD",
IF(OR(P111&gt;1.2,Q111&gt;0.3),"Hyperbilirubinemia",
"Others"))))))))</f>
        <v>Normal</v>
      </c>
      <c r="AJ111" s="5">
        <v>30</v>
      </c>
      <c r="AK111" s="5" t="s">
        <v>35</v>
      </c>
    </row>
    <row r="112" spans="1:37" ht="43.2" x14ac:dyDescent="0.3">
      <c r="A112" s="5">
        <v>115</v>
      </c>
      <c r="B112" s="5" t="s">
        <v>39</v>
      </c>
      <c r="C112" s="5">
        <v>32</v>
      </c>
      <c r="D112" s="2">
        <v>9</v>
      </c>
      <c r="E112" s="5">
        <v>168</v>
      </c>
      <c r="F112" s="5">
        <v>62</v>
      </c>
      <c r="G112" s="6">
        <v>21.967120181405896</v>
      </c>
      <c r="H112" s="9" t="s">
        <v>33</v>
      </c>
      <c r="I112" s="2">
        <v>32</v>
      </c>
      <c r="J112" s="5" t="s">
        <v>44</v>
      </c>
      <c r="K112" s="5" t="s">
        <v>44</v>
      </c>
      <c r="L112" s="5" t="s">
        <v>45</v>
      </c>
      <c r="M112" s="5" t="s">
        <v>44</v>
      </c>
      <c r="N112" s="5">
        <v>25.9</v>
      </c>
      <c r="O112" s="5">
        <v>52.8</v>
      </c>
      <c r="P112" s="5">
        <v>0.83</v>
      </c>
      <c r="Q112" s="5">
        <v>0.1</v>
      </c>
      <c r="R112" s="5">
        <v>0.73</v>
      </c>
      <c r="S112" s="8">
        <v>2.0386100386100385</v>
      </c>
      <c r="T112" s="5" t="s">
        <v>44</v>
      </c>
      <c r="U112" s="5"/>
      <c r="V112" s="5"/>
      <c r="W112" s="5"/>
      <c r="X112" s="5"/>
      <c r="Y112" s="5" t="s">
        <v>44</v>
      </c>
      <c r="Z112" s="5"/>
      <c r="AA112" s="5"/>
      <c r="AB112" s="9" t="s">
        <v>44</v>
      </c>
      <c r="AC112" s="2" t="s">
        <v>47</v>
      </c>
      <c r="AD112" s="2">
        <v>0</v>
      </c>
      <c r="AE112" s="2" t="s">
        <v>48</v>
      </c>
      <c r="AF112" s="2" t="str">
        <f t="shared" si="1"/>
        <v>Abnormal</v>
      </c>
      <c r="AG112" s="5">
        <v>1</v>
      </c>
      <c r="AH112" s="5" t="str">
        <f>IF(AG112=0,"Normal",
IF(AND(T112="Yes",S112&gt;=2),"ALD",
IF(AND(T112="Yes",S112&gt;=2,O112&gt;N112),"ALD",
IF(AND(T112="No",S112&gt;=2),"ALD",
IF(AND(G112&gt;=25,OR(T112="No",AND(T112="Yes",S112&lt;1))),"NAFLD",
IF(AND(N112&gt;O112,N112&gt;40,S112&lt;1),"NAFLD",
IF(AND(T112="Yes",S112&lt;1,G112&gt;=25,N112&gt;O112),"NAFLD",
IF(OR(P112&gt;1.2,Q112&gt;0.3),"Hyperbilirubinemia",
"Others"))))))))</f>
        <v>ALD</v>
      </c>
      <c r="AI112" s="5" t="str">
        <f>IF(AG112=0,"Normal",
IF(AND(T112="Yes",S112&gt;=2),"ALD (Confirmed)",
IF(AND(T112="Yes",S112&gt;=2,O112&gt;N112),"ALD (Confirmed)",
IF(AND(T112="No",S112&gt;=2),"ALD (Probable)",
IF(AND(G112&gt;=25,OR(T112="No",AND(T112="Yes",S112&lt;1))),"NAFLD",
IF(AND(N112&gt;O112,N112&gt;40,S112&lt;1),"NAFLD",
IF(AND(T112="Yes",S112&lt;1,G112&gt;=25,N112&gt;O112),"NAFLD",
IF(OR(P112&gt;1.2,Q112&gt;0.3),"Hyperbilirubinemia",
"Others"))))))))</f>
        <v>ALD (Probable)</v>
      </c>
      <c r="AJ112" s="5">
        <v>7</v>
      </c>
      <c r="AK112" s="5" t="s">
        <v>34</v>
      </c>
    </row>
    <row r="113" spans="1:37" ht="43.2" x14ac:dyDescent="0.3">
      <c r="A113" s="5">
        <v>116</v>
      </c>
      <c r="B113" s="5" t="s">
        <v>39</v>
      </c>
      <c r="C113" s="5">
        <v>21</v>
      </c>
      <c r="D113" s="2">
        <v>1</v>
      </c>
      <c r="E113" s="5">
        <v>168</v>
      </c>
      <c r="F113" s="5">
        <v>51</v>
      </c>
      <c r="G113" s="6">
        <v>18.100000000000001</v>
      </c>
      <c r="H113" s="9" t="s">
        <v>43</v>
      </c>
      <c r="I113" s="2">
        <v>28</v>
      </c>
      <c r="J113" s="5" t="s">
        <v>44</v>
      </c>
      <c r="K113" s="5" t="s">
        <v>44</v>
      </c>
      <c r="L113" s="5" t="s">
        <v>44</v>
      </c>
      <c r="M113" s="5" t="s">
        <v>44</v>
      </c>
      <c r="N113" s="5">
        <v>24.3</v>
      </c>
      <c r="O113" s="5">
        <v>35.200000000000003</v>
      </c>
      <c r="P113" s="5">
        <v>0.46</v>
      </c>
      <c r="Q113" s="5">
        <v>0.11</v>
      </c>
      <c r="R113" s="5">
        <v>0.35</v>
      </c>
      <c r="S113" s="8">
        <v>1.4485596707818931</v>
      </c>
      <c r="T113" s="5" t="s">
        <v>45</v>
      </c>
      <c r="U113" s="5" t="s">
        <v>56</v>
      </c>
      <c r="V113" s="5" t="s">
        <v>61</v>
      </c>
      <c r="W113" s="5" t="s">
        <v>65</v>
      </c>
      <c r="X113" s="5" t="s">
        <v>68</v>
      </c>
      <c r="Y113" s="5" t="s">
        <v>45</v>
      </c>
      <c r="Z113" s="5" t="s">
        <v>75</v>
      </c>
      <c r="AA113" s="5" t="s">
        <v>83</v>
      </c>
      <c r="AB113" s="9" t="s">
        <v>44</v>
      </c>
      <c r="AC113" s="2" t="s">
        <v>47</v>
      </c>
      <c r="AD113" s="2">
        <v>0</v>
      </c>
      <c r="AE113" s="2" t="s">
        <v>48</v>
      </c>
      <c r="AF113" s="2" t="str">
        <f t="shared" si="1"/>
        <v>Normal</v>
      </c>
      <c r="AG113" s="5">
        <v>0</v>
      </c>
      <c r="AH113" s="5" t="str">
        <f>IF(AG113=0,"Normal",
IF(AND(T113="Yes",S113&gt;=2),"ALD",
IF(AND(T113="Yes",S113&gt;=2,O113&gt;N113),"ALD",
IF(AND(T113="No",S113&gt;=2),"ALD",
IF(AND(G113&gt;=25,OR(T113="No",AND(T113="Yes",S113&lt;1))),"NAFLD",
IF(AND(N113&gt;O113,N113&gt;40,S113&lt;1),"NAFLD",
IF(AND(T113="Yes",S113&lt;1,G113&gt;=25,N113&gt;O113),"NAFLD",
IF(OR(P113&gt;1.2,Q113&gt;0.3),"Hyperbilirubinemia",
"Others"))))))))</f>
        <v>Normal</v>
      </c>
      <c r="AI113" s="5" t="str">
        <f>IF(AG113=0,"Normal",
IF(AND(T113="Yes",S113&gt;=2),"ALD (Confirmed)",
IF(AND(T113="Yes",S113&gt;=2,O113&gt;N113),"ALD (Confirmed)",
IF(AND(T113="No",S113&gt;=2),"ALD (Probable)",
IF(AND(G113&gt;=25,OR(T113="No",AND(T113="Yes",S113&lt;1))),"NAFLD",
IF(AND(N113&gt;O113,N113&gt;40,S113&lt;1),"NAFLD",
IF(AND(T113="Yes",S113&lt;1,G113&gt;=25,N113&gt;O113),"NAFLD",
IF(OR(P113&gt;1.2,Q113&gt;0.3),"Hyperbilirubinemia",
"Others"))))))))</f>
        <v>Normal</v>
      </c>
      <c r="AJ113" s="5">
        <v>11</v>
      </c>
      <c r="AK113" s="5" t="s">
        <v>34</v>
      </c>
    </row>
    <row r="114" spans="1:37" ht="43.2" x14ac:dyDescent="0.3">
      <c r="A114" s="5">
        <v>117</v>
      </c>
      <c r="B114" s="5" t="s">
        <v>39</v>
      </c>
      <c r="C114" s="5">
        <v>28</v>
      </c>
      <c r="D114" s="2">
        <v>4</v>
      </c>
      <c r="E114" s="5">
        <v>175</v>
      </c>
      <c r="F114" s="5">
        <v>72</v>
      </c>
      <c r="G114" s="6">
        <v>23.510204081632654</v>
      </c>
      <c r="H114" s="9" t="s">
        <v>33</v>
      </c>
      <c r="I114" s="2">
        <v>32</v>
      </c>
      <c r="J114" s="5" t="s">
        <v>44</v>
      </c>
      <c r="K114" s="5" t="s">
        <v>44</v>
      </c>
      <c r="L114" s="5" t="s">
        <v>45</v>
      </c>
      <c r="M114" s="5" t="s">
        <v>44</v>
      </c>
      <c r="N114" s="5">
        <v>39.700000000000003</v>
      </c>
      <c r="O114" s="5">
        <v>35.200000000000003</v>
      </c>
      <c r="P114" s="5">
        <v>0.28000000000000003</v>
      </c>
      <c r="Q114" s="5">
        <v>7.0000000000000007E-2</v>
      </c>
      <c r="R114" s="5">
        <v>0.21</v>
      </c>
      <c r="S114" s="8">
        <v>0.88664987405541562</v>
      </c>
      <c r="T114" s="5" t="s">
        <v>44</v>
      </c>
      <c r="U114" s="5"/>
      <c r="V114" s="5"/>
      <c r="W114" s="5"/>
      <c r="X114" s="5"/>
      <c r="Y114" s="5" t="s">
        <v>45</v>
      </c>
      <c r="Z114" s="5" t="s">
        <v>74</v>
      </c>
      <c r="AA114" s="5" t="s">
        <v>82</v>
      </c>
      <c r="AB114" s="9" t="s">
        <v>44</v>
      </c>
      <c r="AC114" s="2" t="s">
        <v>46</v>
      </c>
      <c r="AD114" s="2">
        <v>0</v>
      </c>
      <c r="AE114" s="2" t="s">
        <v>49</v>
      </c>
      <c r="AF114" s="2" t="str">
        <f t="shared" si="1"/>
        <v>Normal</v>
      </c>
      <c r="AG114" s="5">
        <v>0</v>
      </c>
      <c r="AH114" s="5" t="str">
        <f>IF(AG114=0,"Normal",
IF(AND(T114="Yes",S114&gt;=2),"ALD",
IF(AND(T114="Yes",S114&gt;=2,O114&gt;N114),"ALD",
IF(AND(T114="No",S114&gt;=2),"ALD",
IF(AND(G114&gt;=25,OR(T114="No",AND(T114="Yes",S114&lt;1))),"NAFLD",
IF(AND(N114&gt;O114,N114&gt;40,S114&lt;1),"NAFLD",
IF(AND(T114="Yes",S114&lt;1,G114&gt;=25,N114&gt;O114),"NAFLD",
IF(OR(P114&gt;1.2,Q114&gt;0.3),"Hyperbilirubinemia",
"Others"))))))))</f>
        <v>Normal</v>
      </c>
      <c r="AI114" s="5" t="str">
        <f>IF(AG114=0,"Normal",
IF(AND(T114="Yes",S114&gt;=2),"ALD (Confirmed)",
IF(AND(T114="Yes",S114&gt;=2,O114&gt;N114),"ALD (Confirmed)",
IF(AND(T114="No",S114&gt;=2),"ALD (Probable)",
IF(AND(G114&gt;=25,OR(T114="No",AND(T114="Yes",S114&lt;1))),"NAFLD",
IF(AND(N114&gt;O114,N114&gt;40,S114&lt;1),"NAFLD",
IF(AND(T114="Yes",S114&lt;1,G114&gt;=25,N114&gt;O114),"NAFLD",
IF(OR(P114&gt;1.2,Q114&gt;0.3),"Hyperbilirubinemia",
"Others"))))))))</f>
        <v>Normal</v>
      </c>
      <c r="AJ114" s="5">
        <v>11</v>
      </c>
      <c r="AK114" s="5" t="s">
        <v>34</v>
      </c>
    </row>
    <row r="115" spans="1:37" ht="43.2" x14ac:dyDescent="0.3">
      <c r="A115" s="5">
        <v>118</v>
      </c>
      <c r="B115" s="5" t="s">
        <v>39</v>
      </c>
      <c r="C115" s="5">
        <v>40</v>
      </c>
      <c r="D115" s="2">
        <v>16</v>
      </c>
      <c r="E115" s="5">
        <v>165</v>
      </c>
      <c r="F115" s="5">
        <v>67</v>
      </c>
      <c r="G115" s="6">
        <v>24.609733700642792</v>
      </c>
      <c r="H115" s="9" t="s">
        <v>33</v>
      </c>
      <c r="I115" s="2">
        <v>32</v>
      </c>
      <c r="J115" s="5" t="s">
        <v>44</v>
      </c>
      <c r="K115" s="5" t="s">
        <v>45</v>
      </c>
      <c r="L115" s="5" t="s">
        <v>44</v>
      </c>
      <c r="M115" s="5" t="s">
        <v>44</v>
      </c>
      <c r="N115" s="5">
        <v>56.1</v>
      </c>
      <c r="O115" s="5">
        <v>46.8</v>
      </c>
      <c r="P115" s="5">
        <v>0.37</v>
      </c>
      <c r="Q115" s="5">
        <v>0.09</v>
      </c>
      <c r="R115" s="5">
        <v>0.28000000000000003</v>
      </c>
      <c r="S115" s="8">
        <v>0.83422459893048118</v>
      </c>
      <c r="T115" s="5" t="s">
        <v>45</v>
      </c>
      <c r="U115" s="5" t="s">
        <v>57</v>
      </c>
      <c r="V115" s="5" t="s">
        <v>60</v>
      </c>
      <c r="W115" s="5" t="s">
        <v>65</v>
      </c>
      <c r="X115" s="5" t="s">
        <v>68</v>
      </c>
      <c r="Y115" s="5" t="s">
        <v>44</v>
      </c>
      <c r="Z115" s="5"/>
      <c r="AA115" s="5"/>
      <c r="AB115" s="9" t="s">
        <v>44</v>
      </c>
      <c r="AC115" s="2" t="s">
        <v>47</v>
      </c>
      <c r="AD115" s="2">
        <v>0</v>
      </c>
      <c r="AE115" s="2" t="s">
        <v>49</v>
      </c>
      <c r="AF115" s="2" t="str">
        <f t="shared" si="1"/>
        <v>Abnormal</v>
      </c>
      <c r="AG115" s="5">
        <v>1</v>
      </c>
      <c r="AH115" s="5" t="str">
        <f>IF(AG115=0,"Normal",
IF(AND(T115="Yes",S115&gt;=2),"ALD",
IF(AND(T115="Yes",S115&gt;=2,O115&gt;N115),"ALD",
IF(AND(T115="No",S115&gt;=2),"ALD",
IF(AND(G115&gt;=25,OR(T115="No",AND(T115="Yes",S115&lt;1))),"NAFLD",
IF(AND(N115&gt;O115,N115&gt;40,S115&lt;1),"NAFLD",
IF(AND(T115="Yes",S115&lt;1,G115&gt;=25,N115&gt;O115),"NAFLD",
IF(OR(P115&gt;1.2,Q115&gt;0.3),"Hyperbilirubinemia",
"Others"))))))))</f>
        <v>NAFLD</v>
      </c>
      <c r="AI115" s="5" t="str">
        <f>IF(AG115=0,"Normal",
IF(AND(T115="Yes",S115&gt;=2),"ALD (Confirmed)",
IF(AND(T115="Yes",S115&gt;=2,O115&gt;N115),"ALD (Confirmed)",
IF(AND(T115="No",S115&gt;=2),"ALD (Probable)",
IF(AND(G115&gt;=25,OR(T115="No",AND(T115="Yes",S115&lt;1))),"NAFLD",
IF(AND(N115&gt;O115,N115&gt;40,S115&lt;1),"NAFLD",
IF(AND(T115="Yes",S115&lt;1,G115&gt;=25,N115&gt;O115),"NAFLD",
IF(OR(P115&gt;1.2,Q115&gt;0.3),"Hyperbilirubinemia",
"Others"))))))))</f>
        <v>NAFLD</v>
      </c>
      <c r="AJ115" s="5">
        <v>30</v>
      </c>
      <c r="AK115" s="5" t="s">
        <v>35</v>
      </c>
    </row>
    <row r="116" spans="1:37" ht="28.8" x14ac:dyDescent="0.3">
      <c r="A116" s="5">
        <v>119</v>
      </c>
      <c r="B116" s="5" t="s">
        <v>39</v>
      </c>
      <c r="C116" s="5">
        <v>48</v>
      </c>
      <c r="D116" s="2">
        <v>20</v>
      </c>
      <c r="E116" s="5">
        <v>156</v>
      </c>
      <c r="F116" s="5">
        <v>62</v>
      </c>
      <c r="G116" s="6">
        <v>25.476660092044707</v>
      </c>
      <c r="H116" s="9" t="s">
        <v>42</v>
      </c>
      <c r="I116" s="2">
        <v>32</v>
      </c>
      <c r="J116" s="5" t="s">
        <v>44</v>
      </c>
      <c r="K116" s="5" t="s">
        <v>44</v>
      </c>
      <c r="L116" s="5" t="s">
        <v>44</v>
      </c>
      <c r="M116" s="5" t="s">
        <v>44</v>
      </c>
      <c r="N116" s="5">
        <v>17.100000000000001</v>
      </c>
      <c r="O116" s="5">
        <v>26.29</v>
      </c>
      <c r="P116" s="5">
        <v>0.6</v>
      </c>
      <c r="Q116" s="5">
        <v>0.11</v>
      </c>
      <c r="R116" s="5">
        <v>0.49</v>
      </c>
      <c r="S116" s="8">
        <v>1.5374269005847951</v>
      </c>
      <c r="T116" s="5" t="s">
        <v>44</v>
      </c>
      <c r="U116" s="5"/>
      <c r="V116" s="5"/>
      <c r="W116" s="5"/>
      <c r="X116" s="5"/>
      <c r="Y116" s="5" t="s">
        <v>44</v>
      </c>
      <c r="Z116" s="5"/>
      <c r="AA116" s="5"/>
      <c r="AB116" s="9" t="s">
        <v>44</v>
      </c>
      <c r="AC116" s="2" t="s">
        <v>47</v>
      </c>
      <c r="AD116" s="2">
        <v>0</v>
      </c>
      <c r="AE116" s="2" t="s">
        <v>48</v>
      </c>
      <c r="AF116" s="2" t="str">
        <f t="shared" si="1"/>
        <v>Normal</v>
      </c>
      <c r="AG116" s="5">
        <v>0</v>
      </c>
      <c r="AH116" s="5" t="str">
        <f>IF(AG116=0,"Normal",
IF(AND(T116="Yes",S116&gt;=2),"ALD",
IF(AND(T116="Yes",S116&gt;=2,O116&gt;N116),"ALD",
IF(AND(T116="No",S116&gt;=2),"ALD",
IF(AND(G116&gt;=25,OR(T116="No",AND(T116="Yes",S116&lt;1))),"NAFLD",
IF(AND(N116&gt;O116,N116&gt;40,S116&lt;1),"NAFLD",
IF(AND(T116="Yes",S116&lt;1,G116&gt;=25,N116&gt;O116),"NAFLD",
IF(OR(P116&gt;1.2,Q116&gt;0.3),"Hyperbilirubinemia",
"Others"))))))))</f>
        <v>Normal</v>
      </c>
      <c r="AI116" s="5" t="str">
        <f>IF(AG116=0,"Normal",
IF(AND(T116="Yes",S116&gt;=2),"ALD (Confirmed)",
IF(AND(T116="Yes",S116&gt;=2,O116&gt;N116),"ALD (Confirmed)",
IF(AND(T116="No",S116&gt;=2),"ALD (Probable)",
IF(AND(G116&gt;=25,OR(T116="No",AND(T116="Yes",S116&lt;1))),"NAFLD",
IF(AND(N116&gt;O116,N116&gt;40,S116&lt;1),"NAFLD",
IF(AND(T116="Yes",S116&lt;1,G116&gt;=25,N116&gt;O116),"NAFLD",
IF(OR(P116&gt;1.2,Q116&gt;0.3),"Hyperbilirubinemia",
"Others"))))))))</f>
        <v>Normal</v>
      </c>
      <c r="AJ116" s="5">
        <v>9</v>
      </c>
      <c r="AK116" s="5" t="s">
        <v>34</v>
      </c>
    </row>
    <row r="117" spans="1:37" ht="43.2" x14ac:dyDescent="0.3">
      <c r="A117" s="5">
        <v>120</v>
      </c>
      <c r="B117" s="5" t="s">
        <v>39</v>
      </c>
      <c r="C117" s="5">
        <v>36</v>
      </c>
      <c r="D117" s="2">
        <v>14</v>
      </c>
      <c r="E117" s="5">
        <v>160</v>
      </c>
      <c r="F117" s="5">
        <v>70</v>
      </c>
      <c r="G117" s="6">
        <v>27.34375</v>
      </c>
      <c r="H117" s="9" t="s">
        <v>42</v>
      </c>
      <c r="I117" s="2">
        <v>34</v>
      </c>
      <c r="J117" s="5" t="s">
        <v>44</v>
      </c>
      <c r="K117" s="5" t="s">
        <v>44</v>
      </c>
      <c r="L117" s="5" t="s">
        <v>44</v>
      </c>
      <c r="M117" s="5" t="s">
        <v>45</v>
      </c>
      <c r="N117" s="5">
        <v>36.700000000000003</v>
      </c>
      <c r="O117" s="5">
        <v>39.799999999999997</v>
      </c>
      <c r="P117" s="5">
        <v>1.0900000000000001</v>
      </c>
      <c r="Q117" s="5">
        <v>0.12</v>
      </c>
      <c r="R117" s="5">
        <v>0.97</v>
      </c>
      <c r="S117" s="8">
        <v>1.084468664850136</v>
      </c>
      <c r="T117" s="5" t="s">
        <v>44</v>
      </c>
      <c r="U117" s="5"/>
      <c r="V117" s="5"/>
      <c r="W117" s="5"/>
      <c r="X117" s="5"/>
      <c r="Y117" s="5" t="s">
        <v>44</v>
      </c>
      <c r="Z117" s="5"/>
      <c r="AA117" s="5"/>
      <c r="AB117" s="9" t="s">
        <v>44</v>
      </c>
      <c r="AC117" s="2" t="s">
        <v>46</v>
      </c>
      <c r="AD117" s="2">
        <v>0</v>
      </c>
      <c r="AE117" s="2" t="s">
        <v>49</v>
      </c>
      <c r="AF117" s="2" t="str">
        <f t="shared" si="1"/>
        <v>Normal</v>
      </c>
      <c r="AG117" s="5">
        <v>0</v>
      </c>
      <c r="AH117" s="5" t="str">
        <f>IF(AG117=0,"Normal",
IF(AND(T117="Yes",S117&gt;=2),"ALD",
IF(AND(T117="Yes",S117&gt;=2,O117&gt;N117),"ALD",
IF(AND(T117="No",S117&gt;=2),"ALD",
IF(AND(G117&gt;=25,OR(T117="No",AND(T117="Yes",S117&lt;1))),"NAFLD",
IF(AND(N117&gt;O117,N117&gt;40,S117&lt;1),"NAFLD",
IF(AND(T117="Yes",S117&lt;1,G117&gt;=25,N117&gt;O117),"NAFLD",
IF(OR(P117&gt;1.2,Q117&gt;0.3),"Hyperbilirubinemia",
"Others"))))))))</f>
        <v>Normal</v>
      </c>
      <c r="AI117" s="5" t="str">
        <f>IF(AG117=0,"Normal",
IF(AND(T117="Yes",S117&gt;=2),"ALD (Confirmed)",
IF(AND(T117="Yes",S117&gt;=2,O117&gt;N117),"ALD (Confirmed)",
IF(AND(T117="No",S117&gt;=2),"ALD (Probable)",
IF(AND(G117&gt;=25,OR(T117="No",AND(T117="Yes",S117&lt;1))),"NAFLD",
IF(AND(N117&gt;O117,N117&gt;40,S117&lt;1),"NAFLD",
IF(AND(T117="Yes",S117&lt;1,G117&gt;=25,N117&gt;O117),"NAFLD",
IF(OR(P117&gt;1.2,Q117&gt;0.3),"Hyperbilirubinemia",
"Others"))))))))</f>
        <v>Normal</v>
      </c>
      <c r="AJ117" s="5">
        <v>14</v>
      </c>
      <c r="AK117" s="5" t="s">
        <v>34</v>
      </c>
    </row>
    <row r="118" spans="1:37" ht="43.2" x14ac:dyDescent="0.3">
      <c r="A118" s="5">
        <v>121</v>
      </c>
      <c r="B118" s="5" t="s">
        <v>40</v>
      </c>
      <c r="C118" s="5">
        <v>39</v>
      </c>
      <c r="D118" s="2">
        <v>10</v>
      </c>
      <c r="E118" s="5">
        <v>156</v>
      </c>
      <c r="F118" s="5">
        <v>62</v>
      </c>
      <c r="G118" s="6">
        <v>25.476660092044707</v>
      </c>
      <c r="H118" s="9" t="s">
        <v>42</v>
      </c>
      <c r="I118" s="2">
        <v>30</v>
      </c>
      <c r="J118" s="5" t="s">
        <v>44</v>
      </c>
      <c r="K118" s="5" t="s">
        <v>44</v>
      </c>
      <c r="L118" s="5" t="s">
        <v>44</v>
      </c>
      <c r="M118" s="5" t="s">
        <v>44</v>
      </c>
      <c r="N118" s="5">
        <v>15.71</v>
      </c>
      <c r="O118" s="5">
        <v>26.9</v>
      </c>
      <c r="P118" s="5">
        <v>0.38</v>
      </c>
      <c r="Q118" s="5">
        <v>7.0000000000000007E-2</v>
      </c>
      <c r="R118" s="5">
        <v>0.31</v>
      </c>
      <c r="S118" s="8">
        <v>1.7122851686823677</v>
      </c>
      <c r="T118" s="5" t="s">
        <v>44</v>
      </c>
      <c r="U118" s="5"/>
      <c r="V118" s="5"/>
      <c r="W118" s="5"/>
      <c r="X118" s="5"/>
      <c r="Y118" s="5" t="s">
        <v>44</v>
      </c>
      <c r="Z118" s="5"/>
      <c r="AA118" s="5"/>
      <c r="AB118" s="9" t="s">
        <v>44</v>
      </c>
      <c r="AC118" s="2" t="s">
        <v>46</v>
      </c>
      <c r="AD118" s="2">
        <v>0</v>
      </c>
      <c r="AE118" s="2" t="s">
        <v>49</v>
      </c>
      <c r="AF118" s="2" t="str">
        <f t="shared" si="1"/>
        <v>Normal</v>
      </c>
      <c r="AG118" s="5">
        <v>0</v>
      </c>
      <c r="AH118" s="5" t="str">
        <f>IF(AG118=0,"Normal",
IF(AND(T118="Yes",S118&gt;=2),"ALD",
IF(AND(T118="Yes",S118&gt;=2,O118&gt;N118),"ALD",
IF(AND(T118="No",S118&gt;=2),"ALD",
IF(AND(G118&gt;=25,OR(T118="No",AND(T118="Yes",S118&lt;1))),"NAFLD",
IF(AND(N118&gt;O118,N118&gt;40,S118&lt;1),"NAFLD",
IF(AND(T118="Yes",S118&lt;1,G118&gt;=25,N118&gt;O118),"NAFLD",
IF(OR(P118&gt;1.2,Q118&gt;0.3),"Hyperbilirubinemia",
"Others"))))))))</f>
        <v>Normal</v>
      </c>
      <c r="AI118" s="5" t="str">
        <f>IF(AG118=0,"Normal",
IF(AND(T118="Yes",S118&gt;=2),"ALD (Confirmed)",
IF(AND(T118="Yes",S118&gt;=2,O118&gt;N118),"ALD (Confirmed)",
IF(AND(T118="No",S118&gt;=2),"ALD (Probable)",
IF(AND(G118&gt;=25,OR(T118="No",AND(T118="Yes",S118&lt;1))),"NAFLD",
IF(AND(N118&gt;O118,N118&gt;40,S118&lt;1),"NAFLD",
IF(AND(T118="Yes",S118&lt;1,G118&gt;=25,N118&gt;O118),"NAFLD",
IF(OR(P118&gt;1.2,Q118&gt;0.3),"Hyperbilirubinemia",
"Others"))))))))</f>
        <v>Normal</v>
      </c>
      <c r="AJ118" s="5">
        <v>12</v>
      </c>
      <c r="AK118" s="5" t="s">
        <v>34</v>
      </c>
    </row>
    <row r="119" spans="1:37" ht="43.2" x14ac:dyDescent="0.3">
      <c r="A119" s="5">
        <v>122</v>
      </c>
      <c r="B119" s="5" t="s">
        <v>39</v>
      </c>
      <c r="C119" s="5">
        <v>36</v>
      </c>
      <c r="D119" s="2">
        <v>4</v>
      </c>
      <c r="E119" s="5">
        <v>165</v>
      </c>
      <c r="F119" s="5">
        <v>63</v>
      </c>
      <c r="G119" s="6">
        <v>23.140495867768596</v>
      </c>
      <c r="H119" s="9" t="s">
        <v>33</v>
      </c>
      <c r="I119" s="2">
        <v>30</v>
      </c>
      <c r="J119" s="5" t="s">
        <v>44</v>
      </c>
      <c r="K119" s="5" t="s">
        <v>44</v>
      </c>
      <c r="L119" s="5" t="s">
        <v>44</v>
      </c>
      <c r="M119" s="5" t="s">
        <v>44</v>
      </c>
      <c r="N119" s="5">
        <v>32.6</v>
      </c>
      <c r="O119" s="5">
        <v>32.799999999999997</v>
      </c>
      <c r="P119" s="5">
        <v>0.8</v>
      </c>
      <c r="Q119" s="5">
        <v>0.1</v>
      </c>
      <c r="R119" s="5">
        <v>0.7</v>
      </c>
      <c r="S119" s="8">
        <v>1.0061349693251533</v>
      </c>
      <c r="T119" s="5" t="s">
        <v>44</v>
      </c>
      <c r="U119" s="5"/>
      <c r="V119" s="5"/>
      <c r="W119" s="5"/>
      <c r="X119" s="5"/>
      <c r="Y119" s="5" t="s">
        <v>44</v>
      </c>
      <c r="Z119" s="5"/>
      <c r="AA119" s="5"/>
      <c r="AB119" s="9" t="s">
        <v>44</v>
      </c>
      <c r="AC119" s="2" t="s">
        <v>46</v>
      </c>
      <c r="AD119" s="2">
        <v>0</v>
      </c>
      <c r="AE119" s="2" t="s">
        <v>49</v>
      </c>
      <c r="AF119" s="2" t="str">
        <f t="shared" si="1"/>
        <v>Normal</v>
      </c>
      <c r="AG119" s="5">
        <v>0</v>
      </c>
      <c r="AH119" s="5" t="str">
        <f>IF(AG119=0,"Normal",
IF(AND(T119="Yes",S119&gt;=2),"ALD",
IF(AND(T119="Yes",S119&gt;=2,O119&gt;N119),"ALD",
IF(AND(T119="No",S119&gt;=2),"ALD",
IF(AND(G119&gt;=25,OR(T119="No",AND(T119="Yes",S119&lt;1))),"NAFLD",
IF(AND(N119&gt;O119,N119&gt;40,S119&lt;1),"NAFLD",
IF(AND(T119="Yes",S119&lt;1,G119&gt;=25,N119&gt;O119),"NAFLD",
IF(OR(P119&gt;1.2,Q119&gt;0.3),"Hyperbilirubinemia",
"Others"))))))))</f>
        <v>Normal</v>
      </c>
      <c r="AI119" s="5" t="str">
        <f>IF(AG119=0,"Normal",
IF(AND(T119="Yes",S119&gt;=2),"ALD (Confirmed)",
IF(AND(T119="Yes",S119&gt;=2,O119&gt;N119),"ALD (Confirmed)",
IF(AND(T119="No",S119&gt;=2),"ALD (Probable)",
IF(AND(G119&gt;=25,OR(T119="No",AND(T119="Yes",S119&lt;1))),"NAFLD",
IF(AND(N119&gt;O119,N119&gt;40,S119&lt;1),"NAFLD",
IF(AND(T119="Yes",S119&lt;1,G119&gt;=25,N119&gt;O119),"NAFLD",
IF(OR(P119&gt;1.2,Q119&gt;0.3),"Hyperbilirubinemia",
"Others"))))))))</f>
        <v>Normal</v>
      </c>
      <c r="AJ119" s="5">
        <v>7</v>
      </c>
      <c r="AK119" s="5" t="s">
        <v>34</v>
      </c>
    </row>
    <row r="120" spans="1:37" ht="28.8" x14ac:dyDescent="0.3">
      <c r="A120" s="5">
        <v>123</v>
      </c>
      <c r="B120" s="5" t="s">
        <v>39</v>
      </c>
      <c r="C120" s="5">
        <v>51</v>
      </c>
      <c r="D120" s="2">
        <v>26</v>
      </c>
      <c r="E120" s="5">
        <v>174</v>
      </c>
      <c r="F120" s="5">
        <v>69</v>
      </c>
      <c r="G120" s="6">
        <v>22.790328973444314</v>
      </c>
      <c r="H120" s="9" t="s">
        <v>33</v>
      </c>
      <c r="I120" s="2">
        <v>30</v>
      </c>
      <c r="J120" s="5" t="s">
        <v>44</v>
      </c>
      <c r="K120" s="5" t="s">
        <v>44</v>
      </c>
      <c r="L120" s="5" t="s">
        <v>44</v>
      </c>
      <c r="M120" s="5" t="s">
        <v>44</v>
      </c>
      <c r="N120" s="5">
        <v>24.79</v>
      </c>
      <c r="O120" s="5">
        <v>32.880000000000003</v>
      </c>
      <c r="P120" s="5">
        <v>0.61</v>
      </c>
      <c r="Q120" s="5">
        <v>7.0000000000000007E-2</v>
      </c>
      <c r="R120" s="5">
        <v>0.54</v>
      </c>
      <c r="S120" s="8">
        <v>1.3263412666397743</v>
      </c>
      <c r="T120" s="5" t="s">
        <v>44</v>
      </c>
      <c r="U120" s="5"/>
      <c r="V120" s="5"/>
      <c r="W120" s="5"/>
      <c r="X120" s="5"/>
      <c r="Y120" s="5" t="s">
        <v>44</v>
      </c>
      <c r="Z120" s="5"/>
      <c r="AA120" s="5"/>
      <c r="AB120" s="9" t="s">
        <v>44</v>
      </c>
      <c r="AC120" s="2" t="s">
        <v>47</v>
      </c>
      <c r="AD120" s="2">
        <v>0</v>
      </c>
      <c r="AE120" s="2" t="s">
        <v>49</v>
      </c>
      <c r="AF120" s="2" t="str">
        <f t="shared" si="1"/>
        <v>Normal</v>
      </c>
      <c r="AG120" s="5">
        <v>0</v>
      </c>
      <c r="AH120" s="5" t="str">
        <f>IF(AG120=0,"Normal",
IF(AND(T120="Yes",S120&gt;=2),"ALD",
IF(AND(T120="Yes",S120&gt;=2,O120&gt;N120),"ALD",
IF(AND(T120="No",S120&gt;=2),"ALD",
IF(AND(G120&gt;=25,OR(T120="No",AND(T120="Yes",S120&lt;1))),"NAFLD",
IF(AND(N120&gt;O120,N120&gt;40,S120&lt;1),"NAFLD",
IF(AND(T120="Yes",S120&lt;1,G120&gt;=25,N120&gt;O120),"NAFLD",
IF(OR(P120&gt;1.2,Q120&gt;0.3),"Hyperbilirubinemia",
"Others"))))))))</f>
        <v>Normal</v>
      </c>
      <c r="AI120" s="5" t="str">
        <f>IF(AG120=0,"Normal",
IF(AND(T120="Yes",S120&gt;=2),"ALD (Confirmed)",
IF(AND(T120="Yes",S120&gt;=2,O120&gt;N120),"ALD (Confirmed)",
IF(AND(T120="No",S120&gt;=2),"ALD (Probable)",
IF(AND(G120&gt;=25,OR(T120="No",AND(T120="Yes",S120&lt;1))),"NAFLD",
IF(AND(N120&gt;O120,N120&gt;40,S120&lt;1),"NAFLD",
IF(AND(T120="Yes",S120&lt;1,G120&gt;=25,N120&gt;O120),"NAFLD",
IF(OR(P120&gt;1.2,Q120&gt;0.3),"Hyperbilirubinemia",
"Others"))))))))</f>
        <v>Normal</v>
      </c>
      <c r="AJ120" s="5">
        <v>7</v>
      </c>
      <c r="AK120" s="5" t="s">
        <v>34</v>
      </c>
    </row>
    <row r="121" spans="1:37" ht="43.2" x14ac:dyDescent="0.3">
      <c r="A121" s="5">
        <v>124</v>
      </c>
      <c r="B121" s="5" t="s">
        <v>39</v>
      </c>
      <c r="C121" s="5">
        <v>34</v>
      </c>
      <c r="D121" s="2">
        <v>3</v>
      </c>
      <c r="E121" s="5">
        <v>173</v>
      </c>
      <c r="F121" s="5">
        <v>70</v>
      </c>
      <c r="G121" s="6">
        <v>23.388686558187711</v>
      </c>
      <c r="H121" s="9" t="s">
        <v>33</v>
      </c>
      <c r="I121" s="2">
        <v>32</v>
      </c>
      <c r="J121" s="5" t="s">
        <v>44</v>
      </c>
      <c r="K121" s="5" t="s">
        <v>44</v>
      </c>
      <c r="L121" s="5" t="s">
        <v>44</v>
      </c>
      <c r="M121" s="5" t="s">
        <v>44</v>
      </c>
      <c r="N121" s="5">
        <v>21.7</v>
      </c>
      <c r="O121" s="5">
        <v>35</v>
      </c>
      <c r="P121" s="5">
        <v>0.59</v>
      </c>
      <c r="Q121" s="5">
        <v>0.13</v>
      </c>
      <c r="R121" s="5">
        <v>0.46</v>
      </c>
      <c r="S121" s="8">
        <v>1.6129032258064517</v>
      </c>
      <c r="T121" s="5" t="s">
        <v>44</v>
      </c>
      <c r="U121" s="5"/>
      <c r="V121" s="5"/>
      <c r="W121" s="5"/>
      <c r="X121" s="5"/>
      <c r="Y121" s="5" t="s">
        <v>44</v>
      </c>
      <c r="Z121" s="5"/>
      <c r="AA121" s="5"/>
      <c r="AB121" s="9" t="s">
        <v>44</v>
      </c>
      <c r="AC121" s="2" t="s">
        <v>46</v>
      </c>
      <c r="AD121" s="2">
        <v>0</v>
      </c>
      <c r="AE121" s="2" t="s">
        <v>49</v>
      </c>
      <c r="AF121" s="2" t="str">
        <f t="shared" si="1"/>
        <v>Normal</v>
      </c>
      <c r="AG121" s="5">
        <v>0</v>
      </c>
      <c r="AH121" s="5" t="str">
        <f>IF(AG121=0,"Normal",
IF(AND(T121="Yes",S121&gt;=2),"ALD",
IF(AND(T121="Yes",S121&gt;=2,O121&gt;N121),"ALD",
IF(AND(T121="No",S121&gt;=2),"ALD",
IF(AND(G121&gt;=25,OR(T121="No",AND(T121="Yes",S121&lt;1))),"NAFLD",
IF(AND(N121&gt;O121,N121&gt;40,S121&lt;1),"NAFLD",
IF(AND(T121="Yes",S121&lt;1,G121&gt;=25,N121&gt;O121),"NAFLD",
IF(OR(P121&gt;1.2,Q121&gt;0.3),"Hyperbilirubinemia",
"Others"))))))))</f>
        <v>Normal</v>
      </c>
      <c r="AI121" s="5" t="str">
        <f>IF(AG121=0,"Normal",
IF(AND(T121="Yes",S121&gt;=2),"ALD (Confirmed)",
IF(AND(T121="Yes",S121&gt;=2,O121&gt;N121),"ALD (Confirmed)",
IF(AND(T121="No",S121&gt;=2),"ALD (Probable)",
IF(AND(G121&gt;=25,OR(T121="No",AND(T121="Yes",S121&lt;1))),"NAFLD",
IF(AND(N121&gt;O121,N121&gt;40,S121&lt;1),"NAFLD",
IF(AND(T121="Yes",S121&lt;1,G121&gt;=25,N121&gt;O121),"NAFLD",
IF(OR(P121&gt;1.2,Q121&gt;0.3),"Hyperbilirubinemia",
"Others"))))))))</f>
        <v>Normal</v>
      </c>
      <c r="AJ121" s="5">
        <v>6</v>
      </c>
      <c r="AK121" s="5" t="s">
        <v>34</v>
      </c>
    </row>
    <row r="122" spans="1:37" ht="28.8" x14ac:dyDescent="0.3">
      <c r="A122" s="5">
        <v>125</v>
      </c>
      <c r="B122" s="5" t="s">
        <v>39</v>
      </c>
      <c r="C122" s="5">
        <v>42</v>
      </c>
      <c r="D122" s="2">
        <v>23</v>
      </c>
      <c r="E122" s="5">
        <v>174</v>
      </c>
      <c r="F122" s="5">
        <v>75</v>
      </c>
      <c r="G122" s="6">
        <v>24.772096710265558</v>
      </c>
      <c r="H122" s="9" t="s">
        <v>33</v>
      </c>
      <c r="I122" s="2">
        <v>30</v>
      </c>
      <c r="J122" s="5" t="s">
        <v>44</v>
      </c>
      <c r="K122" s="5" t="s">
        <v>44</v>
      </c>
      <c r="L122" s="5" t="s">
        <v>44</v>
      </c>
      <c r="M122" s="5" t="s">
        <v>44</v>
      </c>
      <c r="N122" s="5">
        <v>56</v>
      </c>
      <c r="O122" s="5">
        <v>35.200000000000003</v>
      </c>
      <c r="P122" s="5">
        <v>0.74</v>
      </c>
      <c r="Q122" s="5">
        <v>0.16</v>
      </c>
      <c r="R122" s="5">
        <v>0.57999999999999996</v>
      </c>
      <c r="S122" s="8">
        <v>0.62857142857142867</v>
      </c>
      <c r="T122" s="5" t="s">
        <v>44</v>
      </c>
      <c r="U122" s="5"/>
      <c r="V122" s="5"/>
      <c r="W122" s="5"/>
      <c r="X122" s="5"/>
      <c r="Y122" s="5" t="s">
        <v>44</v>
      </c>
      <c r="Z122" s="5"/>
      <c r="AA122" s="5"/>
      <c r="AB122" s="9" t="s">
        <v>44</v>
      </c>
      <c r="AC122" s="2" t="s">
        <v>47</v>
      </c>
      <c r="AD122" s="2">
        <v>0</v>
      </c>
      <c r="AE122" s="2" t="s">
        <v>48</v>
      </c>
      <c r="AF122" s="2" t="str">
        <f t="shared" si="1"/>
        <v>Normal</v>
      </c>
      <c r="AG122" s="5">
        <v>0</v>
      </c>
      <c r="AH122" s="5" t="str">
        <f>IF(AG122=0,"Normal",
IF(AND(T122="Yes",S122&gt;=2),"ALD",
IF(AND(T122="Yes",S122&gt;=2,O122&gt;N122),"ALD",
IF(AND(T122="No",S122&gt;=2),"ALD",
IF(AND(G122&gt;=25,OR(T122="No",AND(T122="Yes",S122&lt;1))),"NAFLD",
IF(AND(N122&gt;O122,N122&gt;40,S122&lt;1),"NAFLD",
IF(AND(T122="Yes",S122&lt;1,G122&gt;=25,N122&gt;O122),"NAFLD",
IF(OR(P122&gt;1.2,Q122&gt;0.3),"Hyperbilirubinemia",
"Others"))))))))</f>
        <v>Normal</v>
      </c>
      <c r="AI122" s="5" t="str">
        <f>IF(AG122=0,"Normal",
IF(AND(T122="Yes",S122&gt;=2),"ALD (Confirmed)",
IF(AND(T122="Yes",S122&gt;=2,O122&gt;N122),"ALD (Confirmed)",
IF(AND(T122="No",S122&gt;=2),"ALD (Probable)",
IF(AND(G122&gt;=25,OR(T122="No",AND(T122="Yes",S122&lt;1))),"NAFLD",
IF(AND(N122&gt;O122,N122&gt;40,S122&lt;1),"NAFLD",
IF(AND(T122="Yes",S122&lt;1,G122&gt;=25,N122&gt;O122),"NAFLD",
IF(OR(P122&gt;1.2,Q122&gt;0.3),"Hyperbilirubinemia",
"Others"))))))))</f>
        <v>Normal</v>
      </c>
      <c r="AJ122" s="5">
        <v>5</v>
      </c>
      <c r="AK122" s="5" t="s">
        <v>34</v>
      </c>
    </row>
    <row r="123" spans="1:37" ht="28.8" x14ac:dyDescent="0.3">
      <c r="A123" s="5">
        <v>126</v>
      </c>
      <c r="B123" s="5" t="s">
        <v>39</v>
      </c>
      <c r="C123" s="5">
        <v>42</v>
      </c>
      <c r="D123" s="2">
        <v>17</v>
      </c>
      <c r="E123" s="5">
        <v>178</v>
      </c>
      <c r="F123" s="5">
        <v>95</v>
      </c>
      <c r="G123" s="6">
        <v>29.983587930816814</v>
      </c>
      <c r="H123" s="9" t="s">
        <v>41</v>
      </c>
      <c r="I123" s="2">
        <v>36</v>
      </c>
      <c r="J123" s="5" t="s">
        <v>44</v>
      </c>
      <c r="K123" s="5" t="s">
        <v>44</v>
      </c>
      <c r="L123" s="5" t="s">
        <v>44</v>
      </c>
      <c r="M123" s="5" t="s">
        <v>44</v>
      </c>
      <c r="N123" s="5">
        <v>26.91</v>
      </c>
      <c r="O123" s="5">
        <v>53.8</v>
      </c>
      <c r="P123" s="5">
        <v>0.43</v>
      </c>
      <c r="Q123" s="5">
        <v>0.08</v>
      </c>
      <c r="R123" s="5">
        <v>0.35</v>
      </c>
      <c r="S123" s="8">
        <v>1.9992567818654774</v>
      </c>
      <c r="T123" s="5" t="s">
        <v>44</v>
      </c>
      <c r="U123" s="5"/>
      <c r="V123" s="5"/>
      <c r="W123" s="5"/>
      <c r="X123" s="5"/>
      <c r="Y123" s="5" t="s">
        <v>44</v>
      </c>
      <c r="Z123" s="5"/>
      <c r="AA123" s="5"/>
      <c r="AB123" s="9" t="s">
        <v>44</v>
      </c>
      <c r="AC123" s="2" t="s">
        <v>47</v>
      </c>
      <c r="AD123" s="2">
        <v>0</v>
      </c>
      <c r="AE123" s="2" t="s">
        <v>50</v>
      </c>
      <c r="AF123" s="2" t="str">
        <f t="shared" si="1"/>
        <v>Abnormal</v>
      </c>
      <c r="AG123" s="5">
        <v>1</v>
      </c>
      <c r="AH123" s="5" t="str">
        <f>IF(AG123=0,"Normal",
IF(AND(T123="Yes",S123&gt;=2),"ALD",
IF(AND(T123="Yes",S123&gt;=2,O123&gt;N123),"ALD",
IF(AND(T123="No",S123&gt;=2),"ALD",
IF(AND(G123&gt;=25,OR(T123="No",AND(T123="Yes",S123&lt;1))),"NAFLD",
IF(AND(N123&gt;O123,N123&gt;40,S123&lt;1),"NAFLD",
IF(AND(T123="Yes",S123&lt;1,G123&gt;=25,N123&gt;O123),"NAFLD",
IF(OR(P123&gt;1.2,Q123&gt;0.3),"Hyperbilirubinemia",
"Others"))))))))</f>
        <v>NAFLD</v>
      </c>
      <c r="AI123" s="5" t="str">
        <f>IF(AG123=0,"Normal",
IF(AND(T123="Yes",S123&gt;=2),"ALD (Confirmed)",
IF(AND(T123="Yes",S123&gt;=2,O123&gt;N123),"ALD (Confirmed)",
IF(AND(T123="No",S123&gt;=2),"ALD (Probable)",
IF(AND(G123&gt;=25,OR(T123="No",AND(T123="Yes",S123&lt;1))),"NAFLD",
IF(AND(N123&gt;O123,N123&gt;40,S123&lt;1),"NAFLD",
IF(AND(T123="Yes",S123&lt;1,G123&gt;=25,N123&gt;O123),"NAFLD",
IF(OR(P123&gt;1.2,Q123&gt;0.3),"Hyperbilirubinemia",
"Others"))))))))</f>
        <v>NAFLD</v>
      </c>
      <c r="AJ123" s="5">
        <v>23</v>
      </c>
      <c r="AK123" s="5" t="s">
        <v>35</v>
      </c>
    </row>
    <row r="124" spans="1:37" ht="28.8" x14ac:dyDescent="0.3">
      <c r="A124" s="5">
        <v>127</v>
      </c>
      <c r="B124" s="5" t="s">
        <v>39</v>
      </c>
      <c r="C124" s="5">
        <v>36</v>
      </c>
      <c r="D124" s="2">
        <v>12</v>
      </c>
      <c r="E124" s="5">
        <v>175</v>
      </c>
      <c r="F124" s="5">
        <v>73</v>
      </c>
      <c r="G124" s="6">
        <v>23.836734693877549</v>
      </c>
      <c r="H124" s="9" t="s">
        <v>33</v>
      </c>
      <c r="I124" s="2">
        <v>30</v>
      </c>
      <c r="J124" s="5" t="s">
        <v>44</v>
      </c>
      <c r="K124" s="5" t="s">
        <v>44</v>
      </c>
      <c r="L124" s="5" t="s">
        <v>44</v>
      </c>
      <c r="M124" s="5" t="s">
        <v>44</v>
      </c>
      <c r="N124" s="5">
        <v>22.51</v>
      </c>
      <c r="O124" s="5">
        <v>26.51</v>
      </c>
      <c r="P124" s="5">
        <v>0.52</v>
      </c>
      <c r="Q124" s="5">
        <v>0.11</v>
      </c>
      <c r="R124" s="5">
        <v>0.41</v>
      </c>
      <c r="S124" s="8">
        <v>1.1776988005330964</v>
      </c>
      <c r="T124" s="5" t="s">
        <v>44</v>
      </c>
      <c r="U124" s="5"/>
      <c r="V124" s="5"/>
      <c r="W124" s="5"/>
      <c r="X124" s="5"/>
      <c r="Y124" s="5" t="s">
        <v>44</v>
      </c>
      <c r="Z124" s="5"/>
      <c r="AA124" s="5"/>
      <c r="AB124" s="9" t="s">
        <v>44</v>
      </c>
      <c r="AC124" s="2" t="s">
        <v>47</v>
      </c>
      <c r="AD124" s="2">
        <v>0</v>
      </c>
      <c r="AE124" s="2" t="s">
        <v>48</v>
      </c>
      <c r="AF124" s="2" t="str">
        <f t="shared" si="1"/>
        <v>Normal</v>
      </c>
      <c r="AG124" s="5">
        <v>0</v>
      </c>
      <c r="AH124" s="5" t="str">
        <f>IF(AG124=0,"Normal",
IF(AND(T124="Yes",S124&gt;=2),"ALD",
IF(AND(T124="Yes",S124&gt;=2,O124&gt;N124),"ALD",
IF(AND(T124="No",S124&gt;=2),"ALD",
IF(AND(G124&gt;=25,OR(T124="No",AND(T124="Yes",S124&lt;1))),"NAFLD",
IF(AND(N124&gt;O124,N124&gt;40,S124&lt;1),"NAFLD",
IF(AND(T124="Yes",S124&lt;1,G124&gt;=25,N124&gt;O124),"NAFLD",
IF(OR(P124&gt;1.2,Q124&gt;0.3),"Hyperbilirubinemia",
"Others"))))))))</f>
        <v>Normal</v>
      </c>
      <c r="AI124" s="5" t="str">
        <f>IF(AG124=0,"Normal",
IF(AND(T124="Yes",S124&gt;=2),"ALD (Confirmed)",
IF(AND(T124="Yes",S124&gt;=2,O124&gt;N124),"ALD (Confirmed)",
IF(AND(T124="No",S124&gt;=2),"ALD (Probable)",
IF(AND(G124&gt;=25,OR(T124="No",AND(T124="Yes",S124&lt;1))),"NAFLD",
IF(AND(N124&gt;O124,N124&gt;40,S124&lt;1),"NAFLD",
IF(AND(T124="Yes",S124&lt;1,G124&gt;=25,N124&gt;O124),"NAFLD",
IF(OR(P124&gt;1.2,Q124&gt;0.3),"Hyperbilirubinemia",
"Others"))))))))</f>
        <v>Normal</v>
      </c>
      <c r="AJ124" s="5">
        <v>2</v>
      </c>
      <c r="AK124" s="5" t="s">
        <v>34</v>
      </c>
    </row>
    <row r="125" spans="1:37" ht="43.2" x14ac:dyDescent="0.3">
      <c r="A125" s="5">
        <v>128</v>
      </c>
      <c r="B125" s="5" t="s">
        <v>39</v>
      </c>
      <c r="C125" s="5">
        <v>34</v>
      </c>
      <c r="D125" s="2">
        <v>14</v>
      </c>
      <c r="E125" s="5">
        <v>173</v>
      </c>
      <c r="F125" s="5">
        <v>88</v>
      </c>
      <c r="G125" s="6">
        <v>29.402920244578837</v>
      </c>
      <c r="H125" s="9" t="s">
        <v>42</v>
      </c>
      <c r="I125" s="2">
        <v>38</v>
      </c>
      <c r="J125" s="5" t="s">
        <v>44</v>
      </c>
      <c r="K125" s="5" t="s">
        <v>44</v>
      </c>
      <c r="L125" s="5" t="s">
        <v>44</v>
      </c>
      <c r="M125" s="5" t="s">
        <v>44</v>
      </c>
      <c r="N125" s="5">
        <v>19.5</v>
      </c>
      <c r="O125" s="5">
        <v>35.200000000000003</v>
      </c>
      <c r="P125" s="5">
        <v>0.72</v>
      </c>
      <c r="Q125" s="5">
        <v>0.12</v>
      </c>
      <c r="R125" s="5">
        <v>0.6</v>
      </c>
      <c r="S125" s="8">
        <v>1.8051282051282054</v>
      </c>
      <c r="T125" s="5" t="s">
        <v>44</v>
      </c>
      <c r="U125" s="5"/>
      <c r="V125" s="5"/>
      <c r="W125" s="5"/>
      <c r="X125" s="5"/>
      <c r="Y125" s="5" t="s">
        <v>44</v>
      </c>
      <c r="Z125" s="5"/>
      <c r="AA125" s="5"/>
      <c r="AB125" s="9" t="s">
        <v>44</v>
      </c>
      <c r="AC125" s="2" t="s">
        <v>46</v>
      </c>
      <c r="AD125" s="2">
        <v>0</v>
      </c>
      <c r="AE125" s="2" t="s">
        <v>52</v>
      </c>
      <c r="AF125" s="2" t="str">
        <f t="shared" si="1"/>
        <v>Normal</v>
      </c>
      <c r="AG125" s="5">
        <v>0</v>
      </c>
      <c r="AH125" s="5" t="str">
        <f>IF(AG125=0,"Normal",
IF(AND(T125="Yes",S125&gt;=2),"ALD",
IF(AND(T125="Yes",S125&gt;=2,O125&gt;N125),"ALD",
IF(AND(T125="No",S125&gt;=2),"ALD",
IF(AND(G125&gt;=25,OR(T125="No",AND(T125="Yes",S125&lt;1))),"NAFLD",
IF(AND(N125&gt;O125,N125&gt;40,S125&lt;1),"NAFLD",
IF(AND(T125="Yes",S125&lt;1,G125&gt;=25,N125&gt;O125),"NAFLD",
IF(OR(P125&gt;1.2,Q125&gt;0.3),"Hyperbilirubinemia",
"Others"))))))))</f>
        <v>Normal</v>
      </c>
      <c r="AI125" s="5" t="str">
        <f>IF(AG125=0,"Normal",
IF(AND(T125="Yes",S125&gt;=2),"ALD (Confirmed)",
IF(AND(T125="Yes",S125&gt;=2,O125&gt;N125),"ALD (Confirmed)",
IF(AND(T125="No",S125&gt;=2),"ALD (Probable)",
IF(AND(G125&gt;=25,OR(T125="No",AND(T125="Yes",S125&lt;1))),"NAFLD",
IF(AND(N125&gt;O125,N125&gt;40,S125&lt;1),"NAFLD",
IF(AND(T125="Yes",S125&lt;1,G125&gt;=25,N125&gt;O125),"NAFLD",
IF(OR(P125&gt;1.2,Q125&gt;0.3),"Hyperbilirubinemia",
"Others"))))))))</f>
        <v>Normal</v>
      </c>
      <c r="AJ125" s="5">
        <v>16</v>
      </c>
      <c r="AK125" s="5" t="s">
        <v>34</v>
      </c>
    </row>
    <row r="126" spans="1:37" ht="28.8" x14ac:dyDescent="0.3">
      <c r="A126" s="5">
        <v>129</v>
      </c>
      <c r="B126" s="5" t="s">
        <v>39</v>
      </c>
      <c r="C126" s="5">
        <v>45</v>
      </c>
      <c r="D126" s="2">
        <v>22</v>
      </c>
      <c r="E126" s="5">
        <v>168</v>
      </c>
      <c r="F126" s="5">
        <v>67</v>
      </c>
      <c r="G126" s="6">
        <v>23.738662131519277</v>
      </c>
      <c r="H126" s="9" t="s">
        <v>33</v>
      </c>
      <c r="I126" s="2">
        <v>32</v>
      </c>
      <c r="J126" s="5" t="s">
        <v>44</v>
      </c>
      <c r="K126" s="5" t="s">
        <v>44</v>
      </c>
      <c r="L126" s="5" t="s">
        <v>44</v>
      </c>
      <c r="M126" s="5" t="s">
        <v>44</v>
      </c>
      <c r="N126" s="5">
        <v>59.64</v>
      </c>
      <c r="O126" s="5">
        <v>66.28</v>
      </c>
      <c r="P126" s="5">
        <v>0.36</v>
      </c>
      <c r="Q126" s="5">
        <v>0.09</v>
      </c>
      <c r="R126" s="5">
        <v>0.27</v>
      </c>
      <c r="S126" s="8">
        <v>1.1113346747149564</v>
      </c>
      <c r="T126" s="5" t="s">
        <v>44</v>
      </c>
      <c r="U126" s="5"/>
      <c r="V126" s="5"/>
      <c r="W126" s="5"/>
      <c r="X126" s="5"/>
      <c r="Y126" s="5" t="s">
        <v>44</v>
      </c>
      <c r="Z126" s="5"/>
      <c r="AA126" s="5"/>
      <c r="AB126" s="9" t="s">
        <v>44</v>
      </c>
      <c r="AC126" s="2" t="s">
        <v>47</v>
      </c>
      <c r="AD126" s="2">
        <v>0</v>
      </c>
      <c r="AE126" s="2" t="s">
        <v>49</v>
      </c>
      <c r="AF126" s="2" t="str">
        <f t="shared" si="1"/>
        <v>Abnormal</v>
      </c>
      <c r="AG126" s="5">
        <v>1</v>
      </c>
      <c r="AH126" s="5" t="str">
        <f>IF(AG126=0,"Normal",
IF(AND(T126="Yes",S126&gt;=2),"ALD",
IF(AND(T126="Yes",S126&gt;=2,O126&gt;N126),"ALD",
IF(AND(T126="No",S126&gt;=2),"ALD",
IF(AND(G126&gt;=25,OR(T126="No",AND(T126="Yes",S126&lt;1))),"NAFLD",
IF(AND(N126&gt;O126,N126&gt;40,S126&lt;1),"NAFLD",
IF(AND(T126="Yes",S126&lt;1,G126&gt;=25,N126&gt;O126),"NAFLD",
IF(OR(P126&gt;1.2,Q126&gt;0.3),"Hyperbilirubinemia",
"Others"))))))))</f>
        <v>Others</v>
      </c>
      <c r="AI126" s="5" t="str">
        <f>IF(AG126=0,"Normal",
IF(AND(T126="Yes",S126&gt;=2),"ALD (Confirmed)",
IF(AND(T126="Yes",S126&gt;=2,O126&gt;N126),"ALD (Confirmed)",
IF(AND(T126="No",S126&gt;=2),"ALD (Probable)",
IF(AND(G126&gt;=25,OR(T126="No",AND(T126="Yes",S126&lt;1))),"NAFLD",
IF(AND(N126&gt;O126,N126&gt;40,S126&lt;1),"NAFLD",
IF(AND(T126="Yes",S126&lt;1,G126&gt;=25,N126&gt;O126),"NAFLD",
IF(OR(P126&gt;1.2,Q126&gt;0.3),"Hyperbilirubinemia",
"Others"))))))))</f>
        <v>Others</v>
      </c>
      <c r="AJ126" s="5">
        <v>16</v>
      </c>
      <c r="AK126" s="5" t="s">
        <v>34</v>
      </c>
    </row>
    <row r="127" spans="1:37" ht="43.2" x14ac:dyDescent="0.3">
      <c r="A127" s="5">
        <v>130</v>
      </c>
      <c r="B127" s="5" t="s">
        <v>39</v>
      </c>
      <c r="C127" s="5">
        <v>49</v>
      </c>
      <c r="D127" s="2">
        <v>16</v>
      </c>
      <c r="E127" s="5">
        <v>168</v>
      </c>
      <c r="F127" s="5">
        <v>66</v>
      </c>
      <c r="G127" s="6">
        <v>23.3843537414966</v>
      </c>
      <c r="H127" s="9" t="s">
        <v>33</v>
      </c>
      <c r="I127" s="2">
        <v>32</v>
      </c>
      <c r="J127" s="5" t="s">
        <v>44</v>
      </c>
      <c r="K127" s="5" t="s">
        <v>44</v>
      </c>
      <c r="L127" s="5" t="s">
        <v>44</v>
      </c>
      <c r="M127" s="5" t="s">
        <v>44</v>
      </c>
      <c r="N127" s="5">
        <v>38.200000000000003</v>
      </c>
      <c r="O127" s="5">
        <v>39</v>
      </c>
      <c r="P127" s="5">
        <v>0.45</v>
      </c>
      <c r="Q127" s="5">
        <v>0.2</v>
      </c>
      <c r="R127" s="5">
        <v>0.25</v>
      </c>
      <c r="S127" s="8">
        <v>1.0209424083769634</v>
      </c>
      <c r="T127" s="5" t="s">
        <v>44</v>
      </c>
      <c r="U127" s="5"/>
      <c r="V127" s="5"/>
      <c r="W127" s="5"/>
      <c r="X127" s="5"/>
      <c r="Y127" s="5" t="s">
        <v>44</v>
      </c>
      <c r="Z127" s="5"/>
      <c r="AA127" s="5"/>
      <c r="AB127" s="9" t="s">
        <v>44</v>
      </c>
      <c r="AC127" s="2" t="s">
        <v>46</v>
      </c>
      <c r="AD127" s="2">
        <v>0</v>
      </c>
      <c r="AE127" s="2" t="s">
        <v>49</v>
      </c>
      <c r="AF127" s="2" t="str">
        <f t="shared" si="1"/>
        <v>Normal</v>
      </c>
      <c r="AG127" s="5">
        <v>0</v>
      </c>
      <c r="AH127" s="5" t="str">
        <f>IF(AG127=0,"Normal",
IF(AND(T127="Yes",S127&gt;=2),"ALD",
IF(AND(T127="Yes",S127&gt;=2,O127&gt;N127),"ALD",
IF(AND(T127="No",S127&gt;=2),"ALD",
IF(AND(G127&gt;=25,OR(T127="No",AND(T127="Yes",S127&lt;1))),"NAFLD",
IF(AND(N127&gt;O127,N127&gt;40,S127&lt;1),"NAFLD",
IF(AND(T127="Yes",S127&lt;1,G127&gt;=25,N127&gt;O127),"NAFLD",
IF(OR(P127&gt;1.2,Q127&gt;0.3),"Hyperbilirubinemia",
"Others"))))))))</f>
        <v>Normal</v>
      </c>
      <c r="AI127" s="5" t="str">
        <f>IF(AG127=0,"Normal",
IF(AND(T127="Yes",S127&gt;=2),"ALD (Confirmed)",
IF(AND(T127="Yes",S127&gt;=2,O127&gt;N127),"ALD (Confirmed)",
IF(AND(T127="No",S127&gt;=2),"ALD (Probable)",
IF(AND(G127&gt;=25,OR(T127="No",AND(T127="Yes",S127&lt;1))),"NAFLD",
IF(AND(N127&gt;O127,N127&gt;40,S127&lt;1),"NAFLD",
IF(AND(T127="Yes",S127&lt;1,G127&gt;=25,N127&gt;O127),"NAFLD",
IF(OR(P127&gt;1.2,Q127&gt;0.3),"Hyperbilirubinemia",
"Others"))))))))</f>
        <v>Normal</v>
      </c>
      <c r="AJ127" s="5">
        <v>9</v>
      </c>
      <c r="AK127" s="5" t="s">
        <v>34</v>
      </c>
    </row>
    <row r="128" spans="1:37" ht="43.2" x14ac:dyDescent="0.3">
      <c r="A128" s="5">
        <v>131</v>
      </c>
      <c r="B128" s="5" t="s">
        <v>39</v>
      </c>
      <c r="C128" s="5">
        <v>33</v>
      </c>
      <c r="D128" s="2">
        <v>12</v>
      </c>
      <c r="E128" s="5">
        <v>173</v>
      </c>
      <c r="F128" s="5">
        <v>92</v>
      </c>
      <c r="G128" s="6">
        <v>30.73941661933242</v>
      </c>
      <c r="H128" s="9" t="s">
        <v>41</v>
      </c>
      <c r="I128" s="2">
        <v>40</v>
      </c>
      <c r="J128" s="5" t="s">
        <v>44</v>
      </c>
      <c r="K128" s="5" t="s">
        <v>44</v>
      </c>
      <c r="L128" s="5" t="s">
        <v>44</v>
      </c>
      <c r="M128" s="5" t="s">
        <v>44</v>
      </c>
      <c r="N128" s="5">
        <v>27.06</v>
      </c>
      <c r="O128" s="5">
        <v>39.840000000000003</v>
      </c>
      <c r="P128" s="5">
        <v>0.65</v>
      </c>
      <c r="Q128" s="5">
        <v>0.1</v>
      </c>
      <c r="R128" s="5">
        <v>0.55000000000000004</v>
      </c>
      <c r="S128" s="8">
        <v>1.4722838137472285</v>
      </c>
      <c r="T128" s="5" t="s">
        <v>45</v>
      </c>
      <c r="U128" s="5" t="s">
        <v>56</v>
      </c>
      <c r="V128" s="5" t="s">
        <v>61</v>
      </c>
      <c r="W128" s="5" t="s">
        <v>65</v>
      </c>
      <c r="X128" s="5" t="s">
        <v>67</v>
      </c>
      <c r="Y128" s="5" t="s">
        <v>44</v>
      </c>
      <c r="Z128" s="5"/>
      <c r="AA128" s="5"/>
      <c r="AB128" s="9" t="s">
        <v>44</v>
      </c>
      <c r="AC128" s="2" t="s">
        <v>46</v>
      </c>
      <c r="AD128" s="2">
        <v>0</v>
      </c>
      <c r="AE128" s="2" t="s">
        <v>50</v>
      </c>
      <c r="AF128" s="2" t="str">
        <f t="shared" si="1"/>
        <v>Normal</v>
      </c>
      <c r="AG128" s="5">
        <v>0</v>
      </c>
      <c r="AH128" s="5" t="str">
        <f>IF(AG128=0,"Normal",
IF(AND(T128="Yes",S128&gt;=2),"ALD",
IF(AND(T128="Yes",S128&gt;=2,O128&gt;N128),"ALD",
IF(AND(T128="No",S128&gt;=2),"ALD",
IF(AND(G128&gt;=25,OR(T128="No",AND(T128="Yes",S128&lt;1))),"NAFLD",
IF(AND(N128&gt;O128,N128&gt;40,S128&lt;1),"NAFLD",
IF(AND(T128="Yes",S128&lt;1,G128&gt;=25,N128&gt;O128),"NAFLD",
IF(OR(P128&gt;1.2,Q128&gt;0.3),"Hyperbilirubinemia",
"Others"))))))))</f>
        <v>Normal</v>
      </c>
      <c r="AI128" s="5" t="str">
        <f>IF(AG128=0,"Normal",
IF(AND(T128="Yes",S128&gt;=2),"ALD (Confirmed)",
IF(AND(T128="Yes",S128&gt;=2,O128&gt;N128),"ALD (Confirmed)",
IF(AND(T128="No",S128&gt;=2),"ALD (Probable)",
IF(AND(G128&gt;=25,OR(T128="No",AND(T128="Yes",S128&lt;1))),"NAFLD",
IF(AND(N128&gt;O128,N128&gt;40,S128&lt;1),"NAFLD",
IF(AND(T128="Yes",S128&lt;1,G128&gt;=25,N128&gt;O128),"NAFLD",
IF(OR(P128&gt;1.2,Q128&gt;0.3),"Hyperbilirubinemia",
"Others"))))))))</f>
        <v>Normal</v>
      </c>
      <c r="AJ128" s="5">
        <v>32</v>
      </c>
      <c r="AK128" s="5" t="s">
        <v>35</v>
      </c>
    </row>
    <row r="129" spans="1:37" ht="100.8" x14ac:dyDescent="0.3">
      <c r="A129" s="5">
        <v>132</v>
      </c>
      <c r="B129" s="5" t="s">
        <v>39</v>
      </c>
      <c r="C129" s="5">
        <v>50</v>
      </c>
      <c r="D129" s="2">
        <v>25</v>
      </c>
      <c r="E129" s="5">
        <v>168</v>
      </c>
      <c r="F129" s="5">
        <v>66</v>
      </c>
      <c r="G129" s="6">
        <v>23.3843537414966</v>
      </c>
      <c r="H129" s="9" t="s">
        <v>33</v>
      </c>
      <c r="I129" s="2">
        <v>32</v>
      </c>
      <c r="J129" s="5" t="s">
        <v>44</v>
      </c>
      <c r="K129" s="5" t="s">
        <v>45</v>
      </c>
      <c r="L129" s="5" t="s">
        <v>44</v>
      </c>
      <c r="M129" s="5" t="s">
        <v>45</v>
      </c>
      <c r="N129" s="5">
        <v>30.6</v>
      </c>
      <c r="O129" s="5">
        <v>35</v>
      </c>
      <c r="P129" s="5">
        <v>0.36</v>
      </c>
      <c r="Q129" s="5">
        <v>0.08</v>
      </c>
      <c r="R129" s="5">
        <v>0.28000000000000003</v>
      </c>
      <c r="S129" s="8">
        <v>1.1437908496732025</v>
      </c>
      <c r="T129" s="5" t="s">
        <v>45</v>
      </c>
      <c r="U129" s="5" t="s">
        <v>56</v>
      </c>
      <c r="V129" s="5" t="s">
        <v>60</v>
      </c>
      <c r="W129" s="5" t="s">
        <v>65</v>
      </c>
      <c r="X129" s="5" t="s">
        <v>71</v>
      </c>
      <c r="Y129" s="5" t="s">
        <v>44</v>
      </c>
      <c r="Z129" s="5"/>
      <c r="AA129" s="5"/>
      <c r="AB129" s="9" t="s">
        <v>44</v>
      </c>
      <c r="AC129" s="2" t="s">
        <v>46</v>
      </c>
      <c r="AD129" s="2">
        <v>0</v>
      </c>
      <c r="AE129" s="2" t="s">
        <v>49</v>
      </c>
      <c r="AF129" s="2" t="str">
        <f t="shared" si="1"/>
        <v>Normal</v>
      </c>
      <c r="AG129" s="5">
        <v>0</v>
      </c>
      <c r="AH129" s="5" t="str">
        <f>IF(AG129=0,"Normal",
IF(AND(T129="Yes",S129&gt;=2),"ALD",
IF(AND(T129="Yes",S129&gt;=2,O129&gt;N129),"ALD",
IF(AND(T129="No",S129&gt;=2),"ALD",
IF(AND(G129&gt;=25,OR(T129="No",AND(T129="Yes",S129&lt;1))),"NAFLD",
IF(AND(N129&gt;O129,N129&gt;40,S129&lt;1),"NAFLD",
IF(AND(T129="Yes",S129&lt;1,G129&gt;=25,N129&gt;O129),"NAFLD",
IF(OR(P129&gt;1.2,Q129&gt;0.3),"Hyperbilirubinemia",
"Others"))))))))</f>
        <v>Normal</v>
      </c>
      <c r="AI129" s="5" t="str">
        <f>IF(AG129=0,"Normal",
IF(AND(T129="Yes",S129&gt;=2),"ALD (Confirmed)",
IF(AND(T129="Yes",S129&gt;=2,O129&gt;N129),"ALD (Confirmed)",
IF(AND(T129="No",S129&gt;=2),"ALD (Probable)",
IF(AND(G129&gt;=25,OR(T129="No",AND(T129="Yes",S129&lt;1))),"NAFLD",
IF(AND(N129&gt;O129,N129&gt;40,S129&lt;1),"NAFLD",
IF(AND(T129="Yes",S129&lt;1,G129&gt;=25,N129&gt;O129),"NAFLD",
IF(OR(P129&gt;1.2,Q129&gt;0.3),"Hyperbilirubinemia",
"Others"))))))))</f>
        <v>Normal</v>
      </c>
      <c r="AJ129" s="5">
        <v>29</v>
      </c>
      <c r="AK129" s="5" t="s">
        <v>35</v>
      </c>
    </row>
    <row r="130" spans="1:37" ht="43.2" x14ac:dyDescent="0.3">
      <c r="A130" s="5">
        <v>133</v>
      </c>
      <c r="B130" s="5" t="s">
        <v>39</v>
      </c>
      <c r="C130" s="5">
        <v>40</v>
      </c>
      <c r="D130" s="2">
        <v>18</v>
      </c>
      <c r="E130" s="5">
        <v>179</v>
      </c>
      <c r="F130" s="5">
        <v>60</v>
      </c>
      <c r="G130" s="6">
        <v>18.726007303142847</v>
      </c>
      <c r="H130" s="9" t="s">
        <v>33</v>
      </c>
      <c r="I130" s="2">
        <v>34</v>
      </c>
      <c r="J130" s="5" t="s">
        <v>44</v>
      </c>
      <c r="K130" s="5" t="s">
        <v>44</v>
      </c>
      <c r="L130" s="5" t="s">
        <v>44</v>
      </c>
      <c r="M130" s="5" t="s">
        <v>45</v>
      </c>
      <c r="N130" s="5">
        <v>37.4</v>
      </c>
      <c r="O130" s="5">
        <v>38.200000000000003</v>
      </c>
      <c r="P130" s="5">
        <v>0.92</v>
      </c>
      <c r="Q130" s="5">
        <v>0.11</v>
      </c>
      <c r="R130" s="5">
        <v>0.81</v>
      </c>
      <c r="S130" s="8">
        <v>1.0213903743315509</v>
      </c>
      <c r="T130" s="5" t="s">
        <v>44</v>
      </c>
      <c r="U130" s="5"/>
      <c r="V130" s="5"/>
      <c r="W130" s="5"/>
      <c r="X130" s="5"/>
      <c r="Y130" s="5" t="s">
        <v>44</v>
      </c>
      <c r="Z130" s="5"/>
      <c r="AA130" s="5"/>
      <c r="AB130" s="9" t="s">
        <v>44</v>
      </c>
      <c r="AC130" s="2" t="s">
        <v>46</v>
      </c>
      <c r="AD130" s="2">
        <v>0</v>
      </c>
      <c r="AE130" s="2" t="s">
        <v>52</v>
      </c>
      <c r="AF130" s="2" t="str">
        <f t="shared" si="1"/>
        <v>Normal</v>
      </c>
      <c r="AG130" s="5">
        <v>0</v>
      </c>
      <c r="AH130" s="5" t="str">
        <f>IF(AG130=0,"Normal",
IF(AND(T130="Yes",S130&gt;=2),"ALD",
IF(AND(T130="Yes",S130&gt;=2,O130&gt;N130),"ALD",
IF(AND(T130="No",S130&gt;=2),"ALD",
IF(AND(G130&gt;=25,OR(T130="No",AND(T130="Yes",S130&lt;1))),"NAFLD",
IF(AND(N130&gt;O130,N130&gt;40,S130&lt;1),"NAFLD",
IF(AND(T130="Yes",S130&lt;1,G130&gt;=25,N130&gt;O130),"NAFLD",
IF(OR(P130&gt;1.2,Q130&gt;0.3),"Hyperbilirubinemia",
"Others"))))))))</f>
        <v>Normal</v>
      </c>
      <c r="AI130" s="5" t="str">
        <f>IF(AG130=0,"Normal",
IF(AND(T130="Yes",S130&gt;=2),"ALD (Confirmed)",
IF(AND(T130="Yes",S130&gt;=2,O130&gt;N130),"ALD (Confirmed)",
IF(AND(T130="No",S130&gt;=2),"ALD (Probable)",
IF(AND(G130&gt;=25,OR(T130="No",AND(T130="Yes",S130&lt;1))),"NAFLD",
IF(AND(N130&gt;O130,N130&gt;40,S130&lt;1),"NAFLD",
IF(AND(T130="Yes",S130&lt;1,G130&gt;=25,N130&gt;O130),"NAFLD",
IF(OR(P130&gt;1.2,Q130&gt;0.3),"Hyperbilirubinemia",
"Others"))))))))</f>
        <v>Normal</v>
      </c>
      <c r="AJ130" s="5">
        <v>9</v>
      </c>
      <c r="AK130" s="5" t="s">
        <v>34</v>
      </c>
    </row>
    <row r="131" spans="1:37" ht="28.8" x14ac:dyDescent="0.3">
      <c r="A131" s="5">
        <v>134</v>
      </c>
      <c r="B131" s="5" t="s">
        <v>39</v>
      </c>
      <c r="C131" s="5">
        <v>32</v>
      </c>
      <c r="D131" s="2">
        <v>8</v>
      </c>
      <c r="E131" s="5">
        <v>173</v>
      </c>
      <c r="F131" s="5">
        <v>61</v>
      </c>
      <c r="G131" s="6">
        <v>20.38156971499215</v>
      </c>
      <c r="H131" s="9" t="s">
        <v>33</v>
      </c>
      <c r="I131" s="2">
        <v>30</v>
      </c>
      <c r="J131" s="5" t="s">
        <v>44</v>
      </c>
      <c r="K131" s="5" t="s">
        <v>44</v>
      </c>
      <c r="L131" s="5" t="s">
        <v>45</v>
      </c>
      <c r="M131" s="5" t="s">
        <v>44</v>
      </c>
      <c r="N131" s="5">
        <v>27.87</v>
      </c>
      <c r="O131" s="5">
        <v>41.9</v>
      </c>
      <c r="P131" s="5">
        <v>1.66</v>
      </c>
      <c r="Q131" s="5">
        <v>0.22</v>
      </c>
      <c r="R131" s="5">
        <v>1.44</v>
      </c>
      <c r="S131" s="8">
        <v>1.5034086831718694</v>
      </c>
      <c r="T131" s="5" t="s">
        <v>44</v>
      </c>
      <c r="U131" s="5"/>
      <c r="V131" s="5"/>
      <c r="W131" s="5"/>
      <c r="X131" s="5"/>
      <c r="Y131" s="5" t="s">
        <v>44</v>
      </c>
      <c r="Z131" s="5"/>
      <c r="AA131" s="5"/>
      <c r="AB131" s="9" t="s">
        <v>44</v>
      </c>
      <c r="AC131" s="2" t="s">
        <v>47</v>
      </c>
      <c r="AD131" s="2">
        <v>0</v>
      </c>
      <c r="AE131" s="2" t="s">
        <v>49</v>
      </c>
      <c r="AF131" s="2" t="str">
        <f t="shared" ref="AF131:AF194" si="2">IF(AG131=0,"Normal",IF(AG131=1,"Abnormal",""))</f>
        <v>Abnormal</v>
      </c>
      <c r="AG131" s="5">
        <v>1</v>
      </c>
      <c r="AH131" s="5" t="str">
        <f>IF(AG131=0,"Normal",
IF(AND(T131="Yes",S131&gt;=2),"ALD",
IF(AND(T131="Yes",S131&gt;=2,O131&gt;N131),"ALD",
IF(AND(T131="No",S131&gt;=2),"ALD",
IF(AND(G131&gt;=25,OR(T131="No",AND(T131="Yes",S131&lt;1))),"NAFLD",
IF(AND(N131&gt;O131,N131&gt;40,S131&lt;1),"NAFLD",
IF(AND(T131="Yes",S131&lt;1,G131&gt;=25,N131&gt;O131),"NAFLD",
IF(OR(P131&gt;1.2,Q131&gt;0.3),"Hyperbilirubinemia",
"Others"))))))))</f>
        <v>Hyperbilirubinemia</v>
      </c>
      <c r="AI131" s="5" t="str">
        <f>IF(AG131=0,"Normal",
IF(AND(T131="Yes",S131&gt;=2),"ALD (Confirmed)",
IF(AND(T131="Yes",S131&gt;=2,O131&gt;N131),"ALD (Confirmed)",
IF(AND(T131="No",S131&gt;=2),"ALD (Probable)",
IF(AND(G131&gt;=25,OR(T131="No",AND(T131="Yes",S131&lt;1))),"NAFLD",
IF(AND(N131&gt;O131,N131&gt;40,S131&lt;1),"NAFLD",
IF(AND(T131="Yes",S131&lt;1,G131&gt;=25,N131&gt;O131),"NAFLD",
IF(OR(P131&gt;1.2,Q131&gt;0.3),"Hyperbilirubinemia",
"Others"))))))))</f>
        <v>Hyperbilirubinemia</v>
      </c>
      <c r="AJ131" s="5">
        <v>12</v>
      </c>
      <c r="AK131" s="5" t="s">
        <v>34</v>
      </c>
    </row>
    <row r="132" spans="1:37" ht="43.2" x14ac:dyDescent="0.3">
      <c r="A132" s="5">
        <v>135</v>
      </c>
      <c r="B132" s="5" t="s">
        <v>39</v>
      </c>
      <c r="C132" s="5">
        <v>39</v>
      </c>
      <c r="D132" s="2">
        <v>16</v>
      </c>
      <c r="E132" s="5">
        <v>174</v>
      </c>
      <c r="F132" s="5">
        <v>76</v>
      </c>
      <c r="G132" s="6">
        <v>25.102391333069097</v>
      </c>
      <c r="H132" s="9" t="s">
        <v>42</v>
      </c>
      <c r="I132" s="2">
        <v>34</v>
      </c>
      <c r="J132" s="5" t="s">
        <v>44</v>
      </c>
      <c r="K132" s="5" t="s">
        <v>44</v>
      </c>
      <c r="L132" s="5" t="s">
        <v>44</v>
      </c>
      <c r="M132" s="5" t="s">
        <v>44</v>
      </c>
      <c r="N132" s="5">
        <v>25.43</v>
      </c>
      <c r="O132" s="5">
        <v>57.94</v>
      </c>
      <c r="P132" s="5">
        <v>0.56000000000000005</v>
      </c>
      <c r="Q132" s="5">
        <v>7.0000000000000007E-2</v>
      </c>
      <c r="R132" s="5">
        <v>0.49</v>
      </c>
      <c r="S132" s="8">
        <v>2.2784113252064491</v>
      </c>
      <c r="T132" s="5" t="s">
        <v>44</v>
      </c>
      <c r="U132" s="5"/>
      <c r="V132" s="5"/>
      <c r="W132" s="5"/>
      <c r="X132" s="5"/>
      <c r="Y132" s="5" t="s">
        <v>44</v>
      </c>
      <c r="Z132" s="5"/>
      <c r="AA132" s="5"/>
      <c r="AB132" s="9" t="s">
        <v>44</v>
      </c>
      <c r="AC132" s="2" t="s">
        <v>46</v>
      </c>
      <c r="AD132" s="2">
        <v>0</v>
      </c>
      <c r="AE132" s="2" t="s">
        <v>49</v>
      </c>
      <c r="AF132" s="2" t="str">
        <f t="shared" si="2"/>
        <v>Abnormal</v>
      </c>
      <c r="AG132" s="5">
        <v>1</v>
      </c>
      <c r="AH132" s="5" t="str">
        <f>IF(AG132=0,"Normal",
IF(AND(T132="Yes",S132&gt;=2),"ALD",
IF(AND(T132="Yes",S132&gt;=2,O132&gt;N132),"ALD",
IF(AND(T132="No",S132&gt;=2),"ALD",
IF(AND(G132&gt;=25,OR(T132="No",AND(T132="Yes",S132&lt;1))),"NAFLD",
IF(AND(N132&gt;O132,N132&gt;40,S132&lt;1),"NAFLD",
IF(AND(T132="Yes",S132&lt;1,G132&gt;=25,N132&gt;O132),"NAFLD",
IF(OR(P132&gt;1.2,Q132&gt;0.3),"Hyperbilirubinemia",
"Others"))))))))</f>
        <v>ALD</v>
      </c>
      <c r="AI132" s="5" t="str">
        <f>IF(AG132=0,"Normal",
IF(AND(T132="Yes",S132&gt;=2),"ALD (Confirmed)",
IF(AND(T132="Yes",S132&gt;=2,O132&gt;N132),"ALD (Confirmed)",
IF(AND(T132="No",S132&gt;=2),"ALD (Probable)",
IF(AND(G132&gt;=25,OR(T132="No",AND(T132="Yes",S132&lt;1))),"NAFLD",
IF(AND(N132&gt;O132,N132&gt;40,S132&lt;1),"NAFLD",
IF(AND(T132="Yes",S132&lt;1,G132&gt;=25,N132&gt;O132),"NAFLD",
IF(OR(P132&gt;1.2,Q132&gt;0.3),"Hyperbilirubinemia",
"Others"))))))))</f>
        <v>ALD (Probable)</v>
      </c>
      <c r="AJ132" s="5">
        <v>15</v>
      </c>
      <c r="AK132" s="5" t="s">
        <v>34</v>
      </c>
    </row>
    <row r="133" spans="1:37" ht="43.2" x14ac:dyDescent="0.3">
      <c r="A133" s="5">
        <v>136</v>
      </c>
      <c r="B133" s="5" t="s">
        <v>39</v>
      </c>
      <c r="C133" s="5">
        <v>47</v>
      </c>
      <c r="D133" s="2">
        <v>20</v>
      </c>
      <c r="E133" s="5">
        <v>165</v>
      </c>
      <c r="F133" s="5">
        <v>68</v>
      </c>
      <c r="G133" s="6">
        <v>25</v>
      </c>
      <c r="H133" s="9" t="s">
        <v>42</v>
      </c>
      <c r="I133" s="2">
        <v>34</v>
      </c>
      <c r="J133" s="5" t="s">
        <v>44</v>
      </c>
      <c r="K133" s="5" t="s">
        <v>44</v>
      </c>
      <c r="L133" s="5" t="s">
        <v>44</v>
      </c>
      <c r="M133" s="5" t="s">
        <v>44</v>
      </c>
      <c r="N133" s="5">
        <v>21.63</v>
      </c>
      <c r="O133" s="5">
        <v>53.46</v>
      </c>
      <c r="P133" s="5">
        <v>0.52</v>
      </c>
      <c r="Q133" s="5">
        <v>0.11</v>
      </c>
      <c r="R133" s="5">
        <v>0.41</v>
      </c>
      <c r="S133" s="8">
        <v>2.4715672676837728</v>
      </c>
      <c r="T133" s="5" t="s">
        <v>44</v>
      </c>
      <c r="U133" s="5"/>
      <c r="V133" s="5"/>
      <c r="W133" s="5"/>
      <c r="X133" s="5"/>
      <c r="Y133" s="5" t="s">
        <v>44</v>
      </c>
      <c r="Z133" s="5"/>
      <c r="AA133" s="5"/>
      <c r="AB133" s="9" t="s">
        <v>44</v>
      </c>
      <c r="AC133" s="2" t="s">
        <v>46</v>
      </c>
      <c r="AD133" s="2">
        <v>0</v>
      </c>
      <c r="AE133" s="2" t="s">
        <v>49</v>
      </c>
      <c r="AF133" s="2" t="str">
        <f t="shared" si="2"/>
        <v>Abnormal</v>
      </c>
      <c r="AG133" s="5">
        <v>1</v>
      </c>
      <c r="AH133" s="5" t="str">
        <f>IF(AG133=0,"Normal",
IF(AND(T133="Yes",S133&gt;=2),"ALD",
IF(AND(T133="Yes",S133&gt;=2,O133&gt;N133),"ALD",
IF(AND(T133="No",S133&gt;=2),"ALD",
IF(AND(G133&gt;=25,OR(T133="No",AND(T133="Yes",S133&lt;1))),"NAFLD",
IF(AND(N133&gt;O133,N133&gt;40,S133&lt;1),"NAFLD",
IF(AND(T133="Yes",S133&lt;1,G133&gt;=25,N133&gt;O133),"NAFLD",
IF(OR(P133&gt;1.2,Q133&gt;0.3),"Hyperbilirubinemia",
"Others"))))))))</f>
        <v>ALD</v>
      </c>
      <c r="AI133" s="5" t="str">
        <f>IF(AG133=0,"Normal",
IF(AND(T133="Yes",S133&gt;=2),"ALD (Confirmed)",
IF(AND(T133="Yes",S133&gt;=2,O133&gt;N133),"ALD (Confirmed)",
IF(AND(T133="No",S133&gt;=2),"ALD (Probable)",
IF(AND(G133&gt;=25,OR(T133="No",AND(T133="Yes",S133&lt;1))),"NAFLD",
IF(AND(N133&gt;O133,N133&gt;40,S133&lt;1),"NAFLD",
IF(AND(T133="Yes",S133&lt;1,G133&gt;=25,N133&gt;O133),"NAFLD",
IF(OR(P133&gt;1.2,Q133&gt;0.3),"Hyperbilirubinemia",
"Others"))))))))</f>
        <v>ALD (Probable)</v>
      </c>
      <c r="AJ133" s="5">
        <v>17</v>
      </c>
      <c r="AK133" s="5" t="s">
        <v>34</v>
      </c>
    </row>
    <row r="134" spans="1:37" ht="43.2" x14ac:dyDescent="0.3">
      <c r="A134" s="5">
        <v>137</v>
      </c>
      <c r="B134" s="5" t="s">
        <v>39</v>
      </c>
      <c r="C134" s="5">
        <v>29</v>
      </c>
      <c r="D134" s="2">
        <v>6</v>
      </c>
      <c r="E134" s="5">
        <v>172</v>
      </c>
      <c r="F134" s="5">
        <v>70</v>
      </c>
      <c r="G134" s="6">
        <v>23.661438615467819</v>
      </c>
      <c r="H134" s="9" t="s">
        <v>33</v>
      </c>
      <c r="I134" s="2">
        <v>34</v>
      </c>
      <c r="J134" s="5" t="s">
        <v>44</v>
      </c>
      <c r="K134" s="5" t="s">
        <v>44</v>
      </c>
      <c r="L134" s="5" t="s">
        <v>44</v>
      </c>
      <c r="M134" s="5" t="s">
        <v>44</v>
      </c>
      <c r="N134" s="5">
        <v>22.21</v>
      </c>
      <c r="O134" s="5">
        <v>52.78</v>
      </c>
      <c r="P134" s="5">
        <v>0.15</v>
      </c>
      <c r="Q134" s="5">
        <v>0.09</v>
      </c>
      <c r="R134" s="5">
        <v>0.06</v>
      </c>
      <c r="S134" s="8">
        <v>2.3764070238631247</v>
      </c>
      <c r="T134" s="5" t="s">
        <v>45</v>
      </c>
      <c r="U134" s="5" t="s">
        <v>56</v>
      </c>
      <c r="V134" s="5" t="s">
        <v>61</v>
      </c>
      <c r="W134" s="5" t="s">
        <v>65</v>
      </c>
      <c r="X134" s="5" t="s">
        <v>67</v>
      </c>
      <c r="Y134" s="5" t="s">
        <v>45</v>
      </c>
      <c r="Z134" s="5"/>
      <c r="AA134" s="5" t="s">
        <v>81</v>
      </c>
      <c r="AB134" s="9" t="s">
        <v>44</v>
      </c>
      <c r="AC134" s="2" t="s">
        <v>47</v>
      </c>
      <c r="AD134" s="2">
        <v>0</v>
      </c>
      <c r="AE134" s="2" t="s">
        <v>49</v>
      </c>
      <c r="AF134" s="2" t="str">
        <f t="shared" si="2"/>
        <v>Abnormal</v>
      </c>
      <c r="AG134" s="5">
        <v>1</v>
      </c>
      <c r="AH134" s="5" t="str">
        <f>IF(AG134=0,"Normal",
IF(AND(T134="Yes",S134&gt;=2),"ALD",
IF(AND(T134="Yes",S134&gt;=2,O134&gt;N134),"ALD",
IF(AND(T134="No",S134&gt;=2),"ALD",
IF(AND(G134&gt;=25,OR(T134="No",AND(T134="Yes",S134&lt;1))),"NAFLD",
IF(AND(N134&gt;O134,N134&gt;40,S134&lt;1),"NAFLD",
IF(AND(T134="Yes",S134&lt;1,G134&gt;=25,N134&gt;O134),"NAFLD",
IF(OR(P134&gt;1.2,Q134&gt;0.3),"Hyperbilirubinemia",
"Others"))))))))</f>
        <v>ALD</v>
      </c>
      <c r="AI134" s="5" t="str">
        <f>IF(AG134=0,"Normal",
IF(AND(T134="Yes",S134&gt;=2),"ALD (Confirmed)",
IF(AND(T134="Yes",S134&gt;=2,O134&gt;N134),"ALD (Confirmed)",
IF(AND(T134="No",S134&gt;=2),"ALD (Probable)",
IF(AND(G134&gt;=25,OR(T134="No",AND(T134="Yes",S134&lt;1))),"NAFLD",
IF(AND(N134&gt;O134,N134&gt;40,S134&lt;1),"NAFLD",
IF(AND(T134="Yes",S134&lt;1,G134&gt;=25,N134&gt;O134),"NAFLD",
IF(OR(P134&gt;1.2,Q134&gt;0.3),"Hyperbilirubinemia",
"Others"))))))))</f>
        <v>ALD (Confirmed)</v>
      </c>
      <c r="AJ134" s="5">
        <v>17</v>
      </c>
      <c r="AK134" s="5" t="s">
        <v>34</v>
      </c>
    </row>
    <row r="135" spans="1:37" ht="43.2" x14ac:dyDescent="0.3">
      <c r="A135" s="5">
        <v>138</v>
      </c>
      <c r="B135" s="5" t="s">
        <v>39</v>
      </c>
      <c r="C135" s="5">
        <v>33</v>
      </c>
      <c r="D135" s="2">
        <v>10</v>
      </c>
      <c r="E135" s="5">
        <v>168</v>
      </c>
      <c r="F135" s="5">
        <v>82</v>
      </c>
      <c r="G135" s="6">
        <v>29.053287981859409</v>
      </c>
      <c r="H135" s="9" t="s">
        <v>42</v>
      </c>
      <c r="I135" s="2">
        <v>36</v>
      </c>
      <c r="J135" s="5" t="s">
        <v>44</v>
      </c>
      <c r="K135" s="5" t="s">
        <v>44</v>
      </c>
      <c r="L135" s="5" t="s">
        <v>44</v>
      </c>
      <c r="M135" s="5" t="s">
        <v>44</v>
      </c>
      <c r="N135" s="5">
        <v>28.1</v>
      </c>
      <c r="O135" s="5">
        <v>38.9</v>
      </c>
      <c r="P135" s="5">
        <v>0.65</v>
      </c>
      <c r="Q135" s="5">
        <v>0.06</v>
      </c>
      <c r="R135" s="5">
        <v>0.59</v>
      </c>
      <c r="S135" s="8">
        <v>1.384341637010676</v>
      </c>
      <c r="T135" s="5" t="s">
        <v>44</v>
      </c>
      <c r="U135" s="5"/>
      <c r="V135" s="5"/>
      <c r="W135" s="5"/>
      <c r="X135" s="5"/>
      <c r="Y135" s="5" t="s">
        <v>44</v>
      </c>
      <c r="Z135" s="5"/>
      <c r="AA135" s="5"/>
      <c r="AB135" s="9" t="s">
        <v>44</v>
      </c>
      <c r="AC135" s="2" t="s">
        <v>46</v>
      </c>
      <c r="AD135" s="2">
        <v>0</v>
      </c>
      <c r="AE135" s="2" t="s">
        <v>48</v>
      </c>
      <c r="AF135" s="2" t="str">
        <f t="shared" si="2"/>
        <v>Normal</v>
      </c>
      <c r="AG135" s="5">
        <v>0</v>
      </c>
      <c r="AH135" s="5" t="str">
        <f>IF(AG135=0,"Normal",
IF(AND(T135="Yes",S135&gt;=2),"ALD",
IF(AND(T135="Yes",S135&gt;=2,O135&gt;N135),"ALD",
IF(AND(T135="No",S135&gt;=2),"ALD",
IF(AND(G135&gt;=25,OR(T135="No",AND(T135="Yes",S135&lt;1))),"NAFLD",
IF(AND(N135&gt;O135,N135&gt;40,S135&lt;1),"NAFLD",
IF(AND(T135="Yes",S135&lt;1,G135&gt;=25,N135&gt;O135),"NAFLD",
IF(OR(P135&gt;1.2,Q135&gt;0.3),"Hyperbilirubinemia",
"Others"))))))))</f>
        <v>Normal</v>
      </c>
      <c r="AI135" s="5" t="str">
        <f>IF(AG135=0,"Normal",
IF(AND(T135="Yes",S135&gt;=2),"ALD (Confirmed)",
IF(AND(T135="Yes",S135&gt;=2,O135&gt;N135),"ALD (Confirmed)",
IF(AND(T135="No",S135&gt;=2),"ALD (Probable)",
IF(AND(G135&gt;=25,OR(T135="No",AND(T135="Yes",S135&lt;1))),"NAFLD",
IF(AND(N135&gt;O135,N135&gt;40,S135&lt;1),"NAFLD",
IF(AND(T135="Yes",S135&lt;1,G135&gt;=25,N135&gt;O135),"NAFLD",
IF(OR(P135&gt;1.2,Q135&gt;0.3),"Hyperbilirubinemia",
"Others"))))))))</f>
        <v>Normal</v>
      </c>
      <c r="AJ135" s="5">
        <v>13</v>
      </c>
      <c r="AK135" s="5" t="s">
        <v>34</v>
      </c>
    </row>
    <row r="136" spans="1:37" ht="100.8" x14ac:dyDescent="0.3">
      <c r="A136" s="5">
        <v>139</v>
      </c>
      <c r="B136" s="5" t="s">
        <v>39</v>
      </c>
      <c r="C136" s="5">
        <v>35</v>
      </c>
      <c r="D136" s="2">
        <v>9</v>
      </c>
      <c r="E136" s="5">
        <v>163</v>
      </c>
      <c r="F136" s="5">
        <v>77</v>
      </c>
      <c r="G136" s="6">
        <v>28.981143437841094</v>
      </c>
      <c r="H136" s="9" t="s">
        <v>42</v>
      </c>
      <c r="I136" s="2">
        <v>36</v>
      </c>
      <c r="J136" s="5" t="s">
        <v>44</v>
      </c>
      <c r="K136" s="5" t="s">
        <v>44</v>
      </c>
      <c r="L136" s="5" t="s">
        <v>44</v>
      </c>
      <c r="M136" s="5" t="s">
        <v>44</v>
      </c>
      <c r="N136" s="5">
        <v>29.61</v>
      </c>
      <c r="O136" s="5">
        <v>31.44</v>
      </c>
      <c r="P136" s="5">
        <v>0.45</v>
      </c>
      <c r="Q136" s="5">
        <v>0.1</v>
      </c>
      <c r="R136" s="5">
        <v>0.35</v>
      </c>
      <c r="S136" s="8">
        <v>1.0618034447821683</v>
      </c>
      <c r="T136" s="5" t="s">
        <v>45</v>
      </c>
      <c r="U136" s="5" t="s">
        <v>58</v>
      </c>
      <c r="V136" s="5" t="s">
        <v>61</v>
      </c>
      <c r="W136" s="5" t="s">
        <v>64</v>
      </c>
      <c r="X136" s="5" t="s">
        <v>71</v>
      </c>
      <c r="Y136" s="5" t="s">
        <v>45</v>
      </c>
      <c r="Z136" s="5"/>
      <c r="AA136" s="5" t="s">
        <v>82</v>
      </c>
      <c r="AB136" s="9" t="s">
        <v>44</v>
      </c>
      <c r="AC136" s="2" t="s">
        <v>46</v>
      </c>
      <c r="AD136" s="2">
        <v>0</v>
      </c>
      <c r="AE136" s="2" t="s">
        <v>48</v>
      </c>
      <c r="AF136" s="2" t="str">
        <f t="shared" si="2"/>
        <v>Normal</v>
      </c>
      <c r="AG136" s="5">
        <v>0</v>
      </c>
      <c r="AH136" s="5" t="str">
        <f>IF(AG136=0,"Normal",
IF(AND(T136="Yes",S136&gt;=2),"ALD",
IF(AND(T136="Yes",S136&gt;=2,O136&gt;N136),"ALD",
IF(AND(T136="No",S136&gt;=2),"ALD",
IF(AND(G136&gt;=25,OR(T136="No",AND(T136="Yes",S136&lt;1))),"NAFLD",
IF(AND(N136&gt;O136,N136&gt;40,S136&lt;1),"NAFLD",
IF(AND(T136="Yes",S136&lt;1,G136&gt;=25,N136&gt;O136),"NAFLD",
IF(OR(P136&gt;1.2,Q136&gt;0.3),"Hyperbilirubinemia",
"Others"))))))))</f>
        <v>Normal</v>
      </c>
      <c r="AI136" s="5" t="str">
        <f>IF(AG136=0,"Normal",
IF(AND(T136="Yes",S136&gt;=2),"ALD (Confirmed)",
IF(AND(T136="Yes",S136&gt;=2,O136&gt;N136),"ALD (Confirmed)",
IF(AND(T136="No",S136&gt;=2),"ALD (Probable)",
IF(AND(G136&gt;=25,OR(T136="No",AND(T136="Yes",S136&lt;1))),"NAFLD",
IF(AND(N136&gt;O136,N136&gt;40,S136&lt;1),"NAFLD",
IF(AND(T136="Yes",S136&lt;1,G136&gt;=25,N136&gt;O136),"NAFLD",
IF(OR(P136&gt;1.2,Q136&gt;0.3),"Hyperbilirubinemia",
"Others"))))))))</f>
        <v>Normal</v>
      </c>
      <c r="AJ136" s="5">
        <v>31</v>
      </c>
      <c r="AK136" s="5" t="s">
        <v>35</v>
      </c>
    </row>
    <row r="137" spans="1:37" ht="43.2" x14ac:dyDescent="0.3">
      <c r="A137" s="5">
        <v>140</v>
      </c>
      <c r="B137" s="5" t="s">
        <v>39</v>
      </c>
      <c r="C137" s="5">
        <v>29</v>
      </c>
      <c r="D137" s="2">
        <v>10</v>
      </c>
      <c r="E137" s="5">
        <v>165</v>
      </c>
      <c r="F137" s="5">
        <v>56</v>
      </c>
      <c r="G137" s="6">
        <v>20.569329660238751</v>
      </c>
      <c r="H137" s="9" t="s">
        <v>33</v>
      </c>
      <c r="I137" s="2">
        <v>30</v>
      </c>
      <c r="J137" s="5" t="s">
        <v>44</v>
      </c>
      <c r="K137" s="5" t="s">
        <v>44</v>
      </c>
      <c r="L137" s="5" t="s">
        <v>44</v>
      </c>
      <c r="M137" s="5" t="s">
        <v>44</v>
      </c>
      <c r="N137" s="5">
        <v>22.4</v>
      </c>
      <c r="O137" s="5">
        <v>35.200000000000003</v>
      </c>
      <c r="P137" s="5">
        <v>0.38</v>
      </c>
      <c r="Q137" s="5">
        <v>0.12</v>
      </c>
      <c r="R137" s="5">
        <v>0.26</v>
      </c>
      <c r="S137" s="8">
        <v>1.5714285714285716</v>
      </c>
      <c r="T137" s="5" t="s">
        <v>44</v>
      </c>
      <c r="U137" s="5"/>
      <c r="V137" s="5"/>
      <c r="W137" s="5"/>
      <c r="X137" s="5"/>
      <c r="Y137" s="5" t="s">
        <v>44</v>
      </c>
      <c r="Z137" s="5"/>
      <c r="AA137" s="5"/>
      <c r="AB137" s="9" t="s">
        <v>44</v>
      </c>
      <c r="AC137" s="2" t="s">
        <v>46</v>
      </c>
      <c r="AD137" s="2">
        <v>0</v>
      </c>
      <c r="AE137" s="2" t="s">
        <v>52</v>
      </c>
      <c r="AF137" s="2" t="str">
        <f t="shared" si="2"/>
        <v>Normal</v>
      </c>
      <c r="AG137" s="5">
        <v>0</v>
      </c>
      <c r="AH137" s="5" t="str">
        <f>IF(AG137=0,"Normal",
IF(AND(T137="Yes",S137&gt;=2),"ALD",
IF(AND(T137="Yes",S137&gt;=2,O137&gt;N137),"ALD",
IF(AND(T137="No",S137&gt;=2),"ALD",
IF(AND(G137&gt;=25,OR(T137="No",AND(T137="Yes",S137&lt;1))),"NAFLD",
IF(AND(N137&gt;O137,N137&gt;40,S137&lt;1),"NAFLD",
IF(AND(T137="Yes",S137&lt;1,G137&gt;=25,N137&gt;O137),"NAFLD",
IF(OR(P137&gt;1.2,Q137&gt;0.3),"Hyperbilirubinemia",
"Others"))))))))</f>
        <v>Normal</v>
      </c>
      <c r="AI137" s="5" t="str">
        <f>IF(AG137=0,"Normal",
IF(AND(T137="Yes",S137&gt;=2),"ALD (Confirmed)",
IF(AND(T137="Yes",S137&gt;=2,O137&gt;N137),"ALD (Confirmed)",
IF(AND(T137="No",S137&gt;=2),"ALD (Probable)",
IF(AND(G137&gt;=25,OR(T137="No",AND(T137="Yes",S137&lt;1))),"NAFLD",
IF(AND(N137&gt;O137,N137&gt;40,S137&lt;1),"NAFLD",
IF(AND(T137="Yes",S137&lt;1,G137&gt;=25,N137&gt;O137),"NAFLD",
IF(OR(P137&gt;1.2,Q137&gt;0.3),"Hyperbilirubinemia",
"Others"))))))))</f>
        <v>Normal</v>
      </c>
      <c r="AJ137" s="5">
        <v>6</v>
      </c>
      <c r="AK137" s="5" t="s">
        <v>34</v>
      </c>
    </row>
    <row r="138" spans="1:37" ht="28.8" x14ac:dyDescent="0.3">
      <c r="A138" s="5">
        <v>141</v>
      </c>
      <c r="B138" s="5" t="s">
        <v>39</v>
      </c>
      <c r="C138" s="5">
        <v>34</v>
      </c>
      <c r="D138" s="2">
        <v>10</v>
      </c>
      <c r="E138" s="5">
        <v>163</v>
      </c>
      <c r="F138" s="5">
        <v>74</v>
      </c>
      <c r="G138" s="6">
        <v>27.852007979223906</v>
      </c>
      <c r="H138" s="9" t="s">
        <v>42</v>
      </c>
      <c r="I138" s="2">
        <v>34</v>
      </c>
      <c r="J138" s="5" t="s">
        <v>44</v>
      </c>
      <c r="K138" s="5" t="s">
        <v>44</v>
      </c>
      <c r="L138" s="5" t="s">
        <v>44</v>
      </c>
      <c r="M138" s="5" t="s">
        <v>44</v>
      </c>
      <c r="N138" s="5">
        <v>29</v>
      </c>
      <c r="O138" s="5">
        <v>32.6</v>
      </c>
      <c r="P138" s="5">
        <v>0.49</v>
      </c>
      <c r="Q138" s="5">
        <v>0.16</v>
      </c>
      <c r="R138" s="5">
        <v>0.33</v>
      </c>
      <c r="S138" s="8">
        <v>1.1241379310344828</v>
      </c>
      <c r="T138" s="5" t="s">
        <v>44</v>
      </c>
      <c r="U138" s="5"/>
      <c r="V138" s="5"/>
      <c r="W138" s="5"/>
      <c r="X138" s="5"/>
      <c r="Y138" s="5" t="s">
        <v>44</v>
      </c>
      <c r="Z138" s="5"/>
      <c r="AA138" s="5"/>
      <c r="AB138" s="9" t="s">
        <v>44</v>
      </c>
      <c r="AC138" s="2" t="s">
        <v>47</v>
      </c>
      <c r="AD138" s="2">
        <v>0</v>
      </c>
      <c r="AE138" s="2" t="s">
        <v>49</v>
      </c>
      <c r="AF138" s="2" t="str">
        <f t="shared" si="2"/>
        <v>Normal</v>
      </c>
      <c r="AG138" s="5">
        <v>0</v>
      </c>
      <c r="AH138" s="5" t="str">
        <f>IF(AG138=0,"Normal",
IF(AND(T138="Yes",S138&gt;=2),"ALD",
IF(AND(T138="Yes",S138&gt;=2,O138&gt;N138),"ALD",
IF(AND(T138="No",S138&gt;=2),"ALD",
IF(AND(G138&gt;=25,OR(T138="No",AND(T138="Yes",S138&lt;1))),"NAFLD",
IF(AND(N138&gt;O138,N138&gt;40,S138&lt;1),"NAFLD",
IF(AND(T138="Yes",S138&lt;1,G138&gt;=25,N138&gt;O138),"NAFLD",
IF(OR(P138&gt;1.2,Q138&gt;0.3),"Hyperbilirubinemia",
"Others"))))))))</f>
        <v>Normal</v>
      </c>
      <c r="AI138" s="5" t="str">
        <f>IF(AG138=0,"Normal",
IF(AND(T138="Yes",S138&gt;=2),"ALD (Confirmed)",
IF(AND(T138="Yes",S138&gt;=2,O138&gt;N138),"ALD (Confirmed)",
IF(AND(T138="No",S138&gt;=2),"ALD (Probable)",
IF(AND(G138&gt;=25,OR(T138="No",AND(T138="Yes",S138&lt;1))),"NAFLD",
IF(AND(N138&gt;O138,N138&gt;40,S138&lt;1),"NAFLD",
IF(AND(T138="Yes",S138&lt;1,G138&gt;=25,N138&gt;O138),"NAFLD",
IF(OR(P138&gt;1.2,Q138&gt;0.3),"Hyperbilirubinemia",
"Others"))))))))</f>
        <v>Normal</v>
      </c>
      <c r="AJ138" s="5">
        <v>9</v>
      </c>
      <c r="AK138" s="5" t="s">
        <v>34</v>
      </c>
    </row>
    <row r="139" spans="1:37" ht="43.2" x14ac:dyDescent="0.3">
      <c r="A139" s="5">
        <v>142</v>
      </c>
      <c r="B139" s="5" t="s">
        <v>39</v>
      </c>
      <c r="C139" s="5">
        <v>29</v>
      </c>
      <c r="D139" s="2">
        <v>7</v>
      </c>
      <c r="E139" s="5">
        <v>175</v>
      </c>
      <c r="F139" s="5">
        <v>78</v>
      </c>
      <c r="G139" s="6">
        <v>25.469387755102041</v>
      </c>
      <c r="H139" s="9" t="s">
        <v>42</v>
      </c>
      <c r="I139" s="2">
        <v>34</v>
      </c>
      <c r="J139" s="5" t="s">
        <v>44</v>
      </c>
      <c r="K139" s="5" t="s">
        <v>44</v>
      </c>
      <c r="L139" s="5" t="s">
        <v>44</v>
      </c>
      <c r="M139" s="5" t="s">
        <v>44</v>
      </c>
      <c r="N139" s="5">
        <v>35.880000000000003</v>
      </c>
      <c r="O139" s="5">
        <v>52.27</v>
      </c>
      <c r="P139" s="5">
        <v>0.42</v>
      </c>
      <c r="Q139" s="5">
        <v>7.0000000000000007E-2</v>
      </c>
      <c r="R139" s="5">
        <v>0.35</v>
      </c>
      <c r="S139" s="8">
        <v>1.4568004459308808</v>
      </c>
      <c r="T139" s="5" t="s">
        <v>44</v>
      </c>
      <c r="U139" s="5"/>
      <c r="V139" s="5"/>
      <c r="W139" s="5"/>
      <c r="X139" s="5"/>
      <c r="Y139" s="5" t="s">
        <v>44</v>
      </c>
      <c r="Z139" s="5"/>
      <c r="AA139" s="5"/>
      <c r="AB139" s="9" t="s">
        <v>44</v>
      </c>
      <c r="AC139" s="2" t="s">
        <v>46</v>
      </c>
      <c r="AD139" s="2">
        <v>0</v>
      </c>
      <c r="AE139" s="2" t="s">
        <v>49</v>
      </c>
      <c r="AF139" s="2" t="str">
        <f t="shared" si="2"/>
        <v>Abnormal</v>
      </c>
      <c r="AG139" s="5">
        <v>1</v>
      </c>
      <c r="AH139" s="5" t="str">
        <f>IF(AG139=0,"Normal",
IF(AND(T139="Yes",S139&gt;=2),"ALD",
IF(AND(T139="Yes",S139&gt;=2,O139&gt;N139),"ALD",
IF(AND(T139="No",S139&gt;=2),"ALD",
IF(AND(G139&gt;=25,OR(T139="No",AND(T139="Yes",S139&lt;1))),"NAFLD",
IF(AND(N139&gt;O139,N139&gt;40,S139&lt;1),"NAFLD",
IF(AND(T139="Yes",S139&lt;1,G139&gt;=25,N139&gt;O139),"NAFLD",
IF(OR(P139&gt;1.2,Q139&gt;0.3),"Hyperbilirubinemia",
"Others"))))))))</f>
        <v>NAFLD</v>
      </c>
      <c r="AI139" s="5" t="str">
        <f>IF(AG139=0,"Normal",
IF(AND(T139="Yes",S139&gt;=2),"ALD (Confirmed)",
IF(AND(T139="Yes",S139&gt;=2,O139&gt;N139),"ALD (Confirmed)",
IF(AND(T139="No",S139&gt;=2),"ALD (Probable)",
IF(AND(G139&gt;=25,OR(T139="No",AND(T139="Yes",S139&lt;1))),"NAFLD",
IF(AND(N139&gt;O139,N139&gt;40,S139&lt;1),"NAFLD",
IF(AND(T139="Yes",S139&lt;1,G139&gt;=25,N139&gt;O139),"NAFLD",
IF(OR(P139&gt;1.2,Q139&gt;0.3),"Hyperbilirubinemia",
"Others"))))))))</f>
        <v>NAFLD</v>
      </c>
      <c r="AJ139" s="5">
        <v>14</v>
      </c>
      <c r="AK139" s="5" t="s">
        <v>34</v>
      </c>
    </row>
    <row r="140" spans="1:37" ht="43.2" x14ac:dyDescent="0.3">
      <c r="A140" s="5">
        <v>143</v>
      </c>
      <c r="B140" s="5" t="s">
        <v>39</v>
      </c>
      <c r="C140" s="5">
        <v>38</v>
      </c>
      <c r="D140" s="2">
        <v>13</v>
      </c>
      <c r="E140" s="5">
        <v>171</v>
      </c>
      <c r="F140" s="5">
        <v>76</v>
      </c>
      <c r="G140" s="6">
        <v>25.990903183885639</v>
      </c>
      <c r="H140" s="9" t="s">
        <v>42</v>
      </c>
      <c r="I140" s="2">
        <v>32</v>
      </c>
      <c r="J140" s="5" t="s">
        <v>44</v>
      </c>
      <c r="K140" s="5" t="s">
        <v>44</v>
      </c>
      <c r="L140" s="5" t="s">
        <v>44</v>
      </c>
      <c r="M140" s="5" t="s">
        <v>44</v>
      </c>
      <c r="N140" s="5">
        <v>41.66</v>
      </c>
      <c r="O140" s="5">
        <v>37.36</v>
      </c>
      <c r="P140" s="5">
        <v>0.61</v>
      </c>
      <c r="Q140" s="5">
        <v>0.09</v>
      </c>
      <c r="R140" s="5">
        <v>0.52</v>
      </c>
      <c r="S140" s="8">
        <v>0.89678348535765728</v>
      </c>
      <c r="T140" s="5" t="s">
        <v>44</v>
      </c>
      <c r="U140" s="5"/>
      <c r="V140" s="5"/>
      <c r="W140" s="5"/>
      <c r="X140" s="5"/>
      <c r="Y140" s="5" t="s">
        <v>44</v>
      </c>
      <c r="Z140" s="5"/>
      <c r="AA140" s="5"/>
      <c r="AB140" s="9" t="s">
        <v>44</v>
      </c>
      <c r="AC140" s="2" t="s">
        <v>46</v>
      </c>
      <c r="AD140" s="2">
        <v>0</v>
      </c>
      <c r="AE140" s="2" t="s">
        <v>48</v>
      </c>
      <c r="AF140" s="2" t="str">
        <f t="shared" si="2"/>
        <v>Normal</v>
      </c>
      <c r="AG140" s="5">
        <v>0</v>
      </c>
      <c r="AH140" s="5" t="str">
        <f>IF(AG140=0,"Normal",
IF(AND(T140="Yes",S140&gt;=2),"ALD",
IF(AND(T140="Yes",S140&gt;=2,O140&gt;N140),"ALD",
IF(AND(T140="No",S140&gt;=2),"ALD",
IF(AND(G140&gt;=25,OR(T140="No",AND(T140="Yes",S140&lt;1))),"NAFLD",
IF(AND(N140&gt;O140,N140&gt;40,S140&lt;1),"NAFLD",
IF(AND(T140="Yes",S140&lt;1,G140&gt;=25,N140&gt;O140),"NAFLD",
IF(OR(P140&gt;1.2,Q140&gt;0.3),"Hyperbilirubinemia",
"Others"))))))))</f>
        <v>Normal</v>
      </c>
      <c r="AI140" s="5" t="str">
        <f>IF(AG140=0,"Normal",
IF(AND(T140="Yes",S140&gt;=2),"ALD (Confirmed)",
IF(AND(T140="Yes",S140&gt;=2,O140&gt;N140),"ALD (Confirmed)",
IF(AND(T140="No",S140&gt;=2),"ALD (Probable)",
IF(AND(G140&gt;=25,OR(T140="No",AND(T140="Yes",S140&lt;1))),"NAFLD",
IF(AND(N140&gt;O140,N140&gt;40,S140&lt;1),"NAFLD",
IF(AND(T140="Yes",S140&lt;1,G140&gt;=25,N140&gt;O140),"NAFLD",
IF(OR(P140&gt;1.2,Q140&gt;0.3),"Hyperbilirubinemia",
"Others"))))))))</f>
        <v>Normal</v>
      </c>
      <c r="AJ140" s="5">
        <v>12</v>
      </c>
      <c r="AK140" s="5" t="s">
        <v>34</v>
      </c>
    </row>
    <row r="141" spans="1:37" ht="43.2" x14ac:dyDescent="0.3">
      <c r="A141" s="5">
        <v>144</v>
      </c>
      <c r="B141" s="5" t="s">
        <v>40</v>
      </c>
      <c r="C141" s="5">
        <v>23</v>
      </c>
      <c r="D141" s="2">
        <v>1</v>
      </c>
      <c r="E141" s="5">
        <v>156</v>
      </c>
      <c r="F141" s="5">
        <v>53</v>
      </c>
      <c r="G141" s="6">
        <v>21.778435239973703</v>
      </c>
      <c r="H141" s="9" t="s">
        <v>33</v>
      </c>
      <c r="I141" s="2">
        <v>30</v>
      </c>
      <c r="J141" s="5" t="s">
        <v>44</v>
      </c>
      <c r="K141" s="5" t="s">
        <v>44</v>
      </c>
      <c r="L141" s="5" t="s">
        <v>44</v>
      </c>
      <c r="M141" s="5" t="s">
        <v>44</v>
      </c>
      <c r="N141" s="5">
        <v>25.6</v>
      </c>
      <c r="O141" s="5">
        <v>35.200000000000003</v>
      </c>
      <c r="P141" s="5">
        <v>0.28999999999999998</v>
      </c>
      <c r="Q141" s="5">
        <v>0.06</v>
      </c>
      <c r="R141" s="5">
        <v>0.23</v>
      </c>
      <c r="S141" s="8">
        <v>1.375</v>
      </c>
      <c r="T141" s="5" t="s">
        <v>44</v>
      </c>
      <c r="U141" s="5"/>
      <c r="V141" s="5"/>
      <c r="W141" s="5"/>
      <c r="X141" s="5"/>
      <c r="Y141" s="5" t="s">
        <v>44</v>
      </c>
      <c r="Z141" s="5"/>
      <c r="AA141" s="5"/>
      <c r="AB141" s="9" t="s">
        <v>44</v>
      </c>
      <c r="AC141" s="2" t="s">
        <v>46</v>
      </c>
      <c r="AD141" s="2">
        <v>0</v>
      </c>
      <c r="AE141" s="2" t="s">
        <v>52</v>
      </c>
      <c r="AF141" s="2" t="str">
        <f t="shared" si="2"/>
        <v>Normal</v>
      </c>
      <c r="AG141" s="5">
        <v>0</v>
      </c>
      <c r="AH141" s="5" t="str">
        <f>IF(AG141=0,"Normal",
IF(AND(T141="Yes",S141&gt;=2),"ALD",
IF(AND(T141="Yes",S141&gt;=2,O141&gt;N141),"ALD",
IF(AND(T141="No",S141&gt;=2),"ALD",
IF(AND(G141&gt;=25,OR(T141="No",AND(T141="Yes",S141&lt;1))),"NAFLD",
IF(AND(N141&gt;O141,N141&gt;40,S141&lt;1),"NAFLD",
IF(AND(T141="Yes",S141&lt;1,G141&gt;=25,N141&gt;O141),"NAFLD",
IF(OR(P141&gt;1.2,Q141&gt;0.3),"Hyperbilirubinemia",
"Others"))))))))</f>
        <v>Normal</v>
      </c>
      <c r="AI141" s="5" t="str">
        <f>IF(AG141=0,"Normal",
IF(AND(T141="Yes",S141&gt;=2),"ALD (Confirmed)",
IF(AND(T141="Yes",S141&gt;=2,O141&gt;N141),"ALD (Confirmed)",
IF(AND(T141="No",S141&gt;=2),"ALD (Probable)",
IF(AND(G141&gt;=25,OR(T141="No",AND(T141="Yes",S141&lt;1))),"NAFLD",
IF(AND(N141&gt;O141,N141&gt;40,S141&lt;1),"NAFLD",
IF(AND(T141="Yes",S141&lt;1,G141&gt;=25,N141&gt;O141),"NAFLD",
IF(OR(P141&gt;1.2,Q141&gt;0.3),"Hyperbilirubinemia",
"Others"))))))))</f>
        <v>Normal</v>
      </c>
      <c r="AJ141" s="5">
        <v>5</v>
      </c>
      <c r="AK141" s="5" t="s">
        <v>34</v>
      </c>
    </row>
    <row r="142" spans="1:37" ht="28.8" x14ac:dyDescent="0.3">
      <c r="A142" s="5">
        <v>145</v>
      </c>
      <c r="B142" s="5" t="s">
        <v>39</v>
      </c>
      <c r="C142" s="5">
        <v>34</v>
      </c>
      <c r="D142" s="2">
        <v>13</v>
      </c>
      <c r="E142" s="5">
        <v>185</v>
      </c>
      <c r="F142" s="5">
        <v>65</v>
      </c>
      <c r="G142" s="6">
        <v>18.991964937910886</v>
      </c>
      <c r="H142" s="9" t="s">
        <v>33</v>
      </c>
      <c r="I142" s="2">
        <v>30</v>
      </c>
      <c r="J142" s="5" t="s">
        <v>44</v>
      </c>
      <c r="K142" s="5" t="s">
        <v>44</v>
      </c>
      <c r="L142" s="5" t="s">
        <v>44</v>
      </c>
      <c r="M142" s="5" t="s">
        <v>45</v>
      </c>
      <c r="N142" s="5">
        <v>38.9</v>
      </c>
      <c r="O142" s="5">
        <v>35.6</v>
      </c>
      <c r="P142" s="5">
        <v>1.19</v>
      </c>
      <c r="Q142" s="5">
        <v>0.12</v>
      </c>
      <c r="R142" s="5">
        <v>1.07</v>
      </c>
      <c r="S142" s="8">
        <v>0.91516709511568128</v>
      </c>
      <c r="T142" s="5" t="s">
        <v>44</v>
      </c>
      <c r="U142" s="5"/>
      <c r="V142" s="5"/>
      <c r="W142" s="5"/>
      <c r="X142" s="5"/>
      <c r="Y142" s="5" t="s">
        <v>44</v>
      </c>
      <c r="Z142" s="5"/>
      <c r="AA142" s="5"/>
      <c r="AB142" s="9" t="s">
        <v>44</v>
      </c>
      <c r="AC142" s="2" t="s">
        <v>47</v>
      </c>
      <c r="AD142" s="2">
        <v>1</v>
      </c>
      <c r="AE142" s="2" t="s">
        <v>52</v>
      </c>
      <c r="AF142" s="2" t="str">
        <f t="shared" si="2"/>
        <v>Normal</v>
      </c>
      <c r="AG142" s="5">
        <v>0</v>
      </c>
      <c r="AH142" s="5" t="str">
        <f>IF(AG142=0,"Normal",
IF(AND(T142="Yes",S142&gt;=2),"ALD",
IF(AND(T142="Yes",S142&gt;=2,O142&gt;N142),"ALD",
IF(AND(T142="No",S142&gt;=2),"ALD",
IF(AND(G142&gt;=25,OR(T142="No",AND(T142="Yes",S142&lt;1))),"NAFLD",
IF(AND(N142&gt;O142,N142&gt;40,S142&lt;1),"NAFLD",
IF(AND(T142="Yes",S142&lt;1,G142&gt;=25,N142&gt;O142),"NAFLD",
IF(OR(P142&gt;1.2,Q142&gt;0.3),"Hyperbilirubinemia",
"Others"))))))))</f>
        <v>Normal</v>
      </c>
      <c r="AI142" s="5" t="str">
        <f>IF(AG142=0,"Normal",
IF(AND(T142="Yes",S142&gt;=2),"ALD (Confirmed)",
IF(AND(T142="Yes",S142&gt;=2,O142&gt;N142),"ALD (Confirmed)",
IF(AND(T142="No",S142&gt;=2),"ALD (Probable)",
IF(AND(G142&gt;=25,OR(T142="No",AND(T142="Yes",S142&lt;1))),"NAFLD",
IF(AND(N142&gt;O142,N142&gt;40,S142&lt;1),"NAFLD",
IF(AND(T142="Yes",S142&lt;1,G142&gt;=25,N142&gt;O142),"NAFLD",
IF(OR(P142&gt;1.2,Q142&gt;0.3),"Hyperbilirubinemia",
"Others"))))))))</f>
        <v>Normal</v>
      </c>
      <c r="AJ142" s="5">
        <v>8</v>
      </c>
      <c r="AK142" s="5" t="s">
        <v>34</v>
      </c>
    </row>
    <row r="143" spans="1:37" ht="28.8" x14ac:dyDescent="0.3">
      <c r="A143" s="5">
        <v>146</v>
      </c>
      <c r="B143" s="5" t="s">
        <v>39</v>
      </c>
      <c r="C143" s="5">
        <v>39</v>
      </c>
      <c r="D143" s="2">
        <v>14</v>
      </c>
      <c r="E143" s="5">
        <v>172</v>
      </c>
      <c r="F143" s="5">
        <v>71</v>
      </c>
      <c r="G143" s="6">
        <v>23.999459167117362</v>
      </c>
      <c r="H143" s="9" t="s">
        <v>33</v>
      </c>
      <c r="I143" s="2">
        <v>32</v>
      </c>
      <c r="J143" s="5" t="s">
        <v>44</v>
      </c>
      <c r="K143" s="5" t="s">
        <v>44</v>
      </c>
      <c r="L143" s="5" t="s">
        <v>44</v>
      </c>
      <c r="M143" s="5" t="s">
        <v>44</v>
      </c>
      <c r="N143" s="5">
        <v>27.56</v>
      </c>
      <c r="O143" s="5">
        <v>33.97</v>
      </c>
      <c r="P143" s="5">
        <v>0.9</v>
      </c>
      <c r="Q143" s="5">
        <v>0.13</v>
      </c>
      <c r="R143" s="5">
        <v>0.77</v>
      </c>
      <c r="S143" s="8">
        <v>1.2325834542815675</v>
      </c>
      <c r="T143" s="5" t="s">
        <v>44</v>
      </c>
      <c r="U143" s="5"/>
      <c r="V143" s="5"/>
      <c r="W143" s="5"/>
      <c r="X143" s="5"/>
      <c r="Y143" s="5" t="s">
        <v>44</v>
      </c>
      <c r="Z143" s="5"/>
      <c r="AA143" s="5"/>
      <c r="AB143" s="9" t="s">
        <v>44</v>
      </c>
      <c r="AC143" s="2" t="s">
        <v>47</v>
      </c>
      <c r="AD143" s="2">
        <v>0</v>
      </c>
      <c r="AE143" s="2" t="s">
        <v>49</v>
      </c>
      <c r="AF143" s="2" t="str">
        <f t="shared" si="2"/>
        <v>Normal</v>
      </c>
      <c r="AG143" s="5">
        <v>0</v>
      </c>
      <c r="AH143" s="5" t="str">
        <f>IF(AG143=0,"Normal",
IF(AND(T143="Yes",S143&gt;=2),"ALD",
IF(AND(T143="Yes",S143&gt;=2,O143&gt;N143),"ALD",
IF(AND(T143="No",S143&gt;=2),"ALD",
IF(AND(G143&gt;=25,OR(T143="No",AND(T143="Yes",S143&lt;1))),"NAFLD",
IF(AND(N143&gt;O143,N143&gt;40,S143&lt;1),"NAFLD",
IF(AND(T143="Yes",S143&lt;1,G143&gt;=25,N143&gt;O143),"NAFLD",
IF(OR(P143&gt;1.2,Q143&gt;0.3),"Hyperbilirubinemia",
"Others"))))))))</f>
        <v>Normal</v>
      </c>
      <c r="AI143" s="5" t="str">
        <f>IF(AG143=0,"Normal",
IF(AND(T143="Yes",S143&gt;=2),"ALD (Confirmed)",
IF(AND(T143="Yes",S143&gt;=2,O143&gt;N143),"ALD (Confirmed)",
IF(AND(T143="No",S143&gt;=2),"ALD (Probable)",
IF(AND(G143&gt;=25,OR(T143="No",AND(T143="Yes",S143&lt;1))),"NAFLD",
IF(AND(N143&gt;O143,N143&gt;40,S143&lt;1),"NAFLD",
IF(AND(T143="Yes",S143&lt;1,G143&gt;=25,N143&gt;O143),"NAFLD",
IF(OR(P143&gt;1.2,Q143&gt;0.3),"Hyperbilirubinemia",
"Others"))))))))</f>
        <v>Normal</v>
      </c>
      <c r="AJ143" s="5">
        <v>5</v>
      </c>
      <c r="AK143" s="5" t="s">
        <v>34</v>
      </c>
    </row>
    <row r="144" spans="1:37" ht="43.2" x14ac:dyDescent="0.3">
      <c r="A144" s="5">
        <v>147</v>
      </c>
      <c r="B144" s="5" t="s">
        <v>39</v>
      </c>
      <c r="C144" s="5">
        <v>31</v>
      </c>
      <c r="D144" s="2">
        <v>8</v>
      </c>
      <c r="E144" s="5">
        <v>174</v>
      </c>
      <c r="F144" s="5">
        <v>61</v>
      </c>
      <c r="G144" s="6">
        <v>20.147971991015986</v>
      </c>
      <c r="H144" s="9" t="s">
        <v>33</v>
      </c>
      <c r="I144" s="2">
        <v>28</v>
      </c>
      <c r="J144" s="5" t="s">
        <v>44</v>
      </c>
      <c r="K144" s="5" t="s">
        <v>44</v>
      </c>
      <c r="L144" s="5" t="s">
        <v>44</v>
      </c>
      <c r="M144" s="5" t="s">
        <v>44</v>
      </c>
      <c r="N144" s="5">
        <v>21.4</v>
      </c>
      <c r="O144" s="5">
        <v>42.9</v>
      </c>
      <c r="P144" s="5">
        <v>0.4</v>
      </c>
      <c r="Q144" s="5">
        <v>0.02</v>
      </c>
      <c r="R144" s="5">
        <v>0.38</v>
      </c>
      <c r="S144" s="8">
        <v>2.004672897196262</v>
      </c>
      <c r="T144" s="5" t="s">
        <v>44</v>
      </c>
      <c r="U144" s="5"/>
      <c r="V144" s="5"/>
      <c r="W144" s="5"/>
      <c r="X144" s="5"/>
      <c r="Y144" s="5" t="s">
        <v>44</v>
      </c>
      <c r="Z144" s="5"/>
      <c r="AA144" s="5"/>
      <c r="AB144" s="9" t="s">
        <v>44</v>
      </c>
      <c r="AC144" s="2" t="s">
        <v>46</v>
      </c>
      <c r="AD144" s="2">
        <v>0</v>
      </c>
      <c r="AE144" s="2" t="s">
        <v>52</v>
      </c>
      <c r="AF144" s="2" t="str">
        <f t="shared" si="2"/>
        <v>Abnormal</v>
      </c>
      <c r="AG144" s="5">
        <v>1</v>
      </c>
      <c r="AH144" s="5" t="str">
        <f>IF(AG144=0,"Normal",
IF(AND(T144="Yes",S144&gt;=2),"ALD",
IF(AND(T144="Yes",S144&gt;=2,O144&gt;N144),"ALD",
IF(AND(T144="No",S144&gt;=2),"ALD",
IF(AND(G144&gt;=25,OR(T144="No",AND(T144="Yes",S144&lt;1))),"NAFLD",
IF(AND(N144&gt;O144,N144&gt;40,S144&lt;1),"NAFLD",
IF(AND(T144="Yes",S144&lt;1,G144&gt;=25,N144&gt;O144),"NAFLD",
IF(OR(P144&gt;1.2,Q144&gt;0.3),"Hyperbilirubinemia",
"Others"))))))))</f>
        <v>ALD</v>
      </c>
      <c r="AI144" s="5" t="str">
        <f>IF(AG144=0,"Normal",
IF(AND(T144="Yes",S144&gt;=2),"ALD (Confirmed)",
IF(AND(T144="Yes",S144&gt;=2,O144&gt;N144),"ALD (Confirmed)",
IF(AND(T144="No",S144&gt;=2),"ALD (Probable)",
IF(AND(G144&gt;=25,OR(T144="No",AND(T144="Yes",S144&lt;1))),"NAFLD",
IF(AND(N144&gt;O144,N144&gt;40,S144&lt;1),"NAFLD",
IF(AND(T144="Yes",S144&lt;1,G144&gt;=25,N144&gt;O144),"NAFLD",
IF(OR(P144&gt;1.2,Q144&gt;0.3),"Hyperbilirubinemia",
"Others"))))))))</f>
        <v>ALD (Probable)</v>
      </c>
      <c r="AJ144" s="5">
        <v>9</v>
      </c>
      <c r="AK144" s="5" t="s">
        <v>34</v>
      </c>
    </row>
    <row r="145" spans="1:37" ht="28.8" x14ac:dyDescent="0.3">
      <c r="A145" s="5">
        <v>148</v>
      </c>
      <c r="B145" s="5" t="s">
        <v>39</v>
      </c>
      <c r="C145" s="5">
        <v>32</v>
      </c>
      <c r="D145" s="2">
        <v>9</v>
      </c>
      <c r="E145" s="5">
        <v>155</v>
      </c>
      <c r="F145" s="5">
        <v>65</v>
      </c>
      <c r="G145" s="6">
        <v>27.055150884495319</v>
      </c>
      <c r="H145" s="9" t="s">
        <v>42</v>
      </c>
      <c r="I145" s="2">
        <v>32</v>
      </c>
      <c r="J145" s="5" t="s">
        <v>44</v>
      </c>
      <c r="K145" s="5" t="s">
        <v>44</v>
      </c>
      <c r="L145" s="5" t="s">
        <v>45</v>
      </c>
      <c r="M145" s="5" t="s">
        <v>44</v>
      </c>
      <c r="N145" s="5">
        <v>56.2</v>
      </c>
      <c r="O145" s="5">
        <v>38.200000000000003</v>
      </c>
      <c r="P145" s="5">
        <v>0.8</v>
      </c>
      <c r="Q145" s="5">
        <v>0.08</v>
      </c>
      <c r="R145" s="5">
        <v>0.72</v>
      </c>
      <c r="S145" s="8">
        <v>0.67971530249110323</v>
      </c>
      <c r="T145" s="5" t="s">
        <v>45</v>
      </c>
      <c r="U145" s="5" t="s">
        <v>56</v>
      </c>
      <c r="V145" s="5" t="s">
        <v>61</v>
      </c>
      <c r="W145" s="5" t="s">
        <v>65</v>
      </c>
      <c r="X145" s="5" t="s">
        <v>67</v>
      </c>
      <c r="Y145" s="5" t="s">
        <v>44</v>
      </c>
      <c r="Z145" s="5"/>
      <c r="AA145" s="5"/>
      <c r="AB145" s="9" t="s">
        <v>44</v>
      </c>
      <c r="AC145" s="2" t="s">
        <v>47</v>
      </c>
      <c r="AD145" s="2">
        <v>0</v>
      </c>
      <c r="AE145" s="2" t="s">
        <v>49</v>
      </c>
      <c r="AF145" s="2" t="str">
        <f t="shared" si="2"/>
        <v>Abnormal</v>
      </c>
      <c r="AG145" s="5">
        <v>1</v>
      </c>
      <c r="AH145" s="5" t="str">
        <f>IF(AG145=0,"Normal",
IF(AND(T145="Yes",S145&gt;=2),"ALD",
IF(AND(T145="Yes",S145&gt;=2,O145&gt;N145),"ALD",
IF(AND(T145="No",S145&gt;=2),"ALD",
IF(AND(G145&gt;=25,OR(T145="No",AND(T145="Yes",S145&lt;1))),"NAFLD",
IF(AND(N145&gt;O145,N145&gt;40,S145&lt;1),"NAFLD",
IF(AND(T145="Yes",S145&lt;1,G145&gt;=25,N145&gt;O145),"NAFLD",
IF(OR(P145&gt;1.2,Q145&gt;0.3),"Hyperbilirubinemia",
"Others"))))))))</f>
        <v>NAFLD</v>
      </c>
      <c r="AI145" s="5" t="str">
        <f>IF(AG145=0,"Normal",
IF(AND(T145="Yes",S145&gt;=2),"ALD (Confirmed)",
IF(AND(T145="Yes",S145&gt;=2,O145&gt;N145),"ALD (Confirmed)",
IF(AND(T145="No",S145&gt;=2),"ALD (Probable)",
IF(AND(G145&gt;=25,OR(T145="No",AND(T145="Yes",S145&lt;1))),"NAFLD",
IF(AND(N145&gt;O145,N145&gt;40,S145&lt;1),"NAFLD",
IF(AND(T145="Yes",S145&lt;1,G145&gt;=25,N145&gt;O145),"NAFLD",
IF(OR(P145&gt;1.2,Q145&gt;0.3),"Hyperbilirubinemia",
"Others"))))))))</f>
        <v>NAFLD</v>
      </c>
      <c r="AJ145" s="5">
        <v>22</v>
      </c>
      <c r="AK145" s="5" t="s">
        <v>35</v>
      </c>
    </row>
    <row r="146" spans="1:37" ht="28.8" x14ac:dyDescent="0.3">
      <c r="A146" s="5">
        <v>149</v>
      </c>
      <c r="B146" s="5" t="s">
        <v>39</v>
      </c>
      <c r="C146" s="5">
        <v>30</v>
      </c>
      <c r="D146" s="2">
        <v>6</v>
      </c>
      <c r="E146" s="5">
        <v>165</v>
      </c>
      <c r="F146" s="5">
        <v>66</v>
      </c>
      <c r="G146" s="6">
        <v>24.242424242424242</v>
      </c>
      <c r="H146" s="9" t="s">
        <v>33</v>
      </c>
      <c r="I146" s="2">
        <v>30</v>
      </c>
      <c r="J146" s="5" t="s">
        <v>44</v>
      </c>
      <c r="K146" s="5" t="s">
        <v>44</v>
      </c>
      <c r="L146" s="5" t="s">
        <v>44</v>
      </c>
      <c r="M146" s="5" t="s">
        <v>44</v>
      </c>
      <c r="N146" s="5">
        <v>29</v>
      </c>
      <c r="O146" s="5">
        <v>42.8</v>
      </c>
      <c r="P146" s="5">
        <v>0.38</v>
      </c>
      <c r="Q146" s="5">
        <v>0.03</v>
      </c>
      <c r="R146" s="5">
        <v>0.35</v>
      </c>
      <c r="S146" s="8">
        <v>1.4758620689655171</v>
      </c>
      <c r="T146" s="5" t="s">
        <v>44</v>
      </c>
      <c r="U146" s="5"/>
      <c r="V146" s="5"/>
      <c r="W146" s="5"/>
      <c r="X146" s="5"/>
      <c r="Y146" s="5" t="s">
        <v>44</v>
      </c>
      <c r="Z146" s="5"/>
      <c r="AA146" s="5"/>
      <c r="AB146" s="9" t="s">
        <v>44</v>
      </c>
      <c r="AC146" s="2" t="s">
        <v>47</v>
      </c>
      <c r="AD146" s="2">
        <v>0</v>
      </c>
      <c r="AE146" s="2" t="s">
        <v>48</v>
      </c>
      <c r="AF146" s="2" t="str">
        <f t="shared" si="2"/>
        <v>Abnormal</v>
      </c>
      <c r="AG146" s="5">
        <v>1</v>
      </c>
      <c r="AH146" s="5" t="str">
        <f>IF(AG146=0,"Normal",
IF(AND(T146="Yes",S146&gt;=2),"ALD",
IF(AND(T146="Yes",S146&gt;=2,O146&gt;N146),"ALD",
IF(AND(T146="No",S146&gt;=2),"ALD",
IF(AND(G146&gt;=25,OR(T146="No",AND(T146="Yes",S146&lt;1))),"NAFLD",
IF(AND(N146&gt;O146,N146&gt;40,S146&lt;1),"NAFLD",
IF(AND(T146="Yes",S146&lt;1,G146&gt;=25,N146&gt;O146),"NAFLD",
IF(OR(P146&gt;1.2,Q146&gt;0.3),"Hyperbilirubinemia",
"Others"))))))))</f>
        <v>Others</v>
      </c>
      <c r="AI146" s="5" t="str">
        <f>IF(AG146=0,"Normal",
IF(AND(T146="Yes",S146&gt;=2),"ALD (Confirmed)",
IF(AND(T146="Yes",S146&gt;=2,O146&gt;N146),"ALD (Confirmed)",
IF(AND(T146="No",S146&gt;=2),"ALD (Probable)",
IF(AND(G146&gt;=25,OR(T146="No",AND(T146="Yes",S146&lt;1))),"NAFLD",
IF(AND(N146&gt;O146,N146&gt;40,S146&lt;1),"NAFLD",
IF(AND(T146="Yes",S146&lt;1,G146&gt;=25,N146&gt;O146),"NAFLD",
IF(OR(P146&gt;1.2,Q146&gt;0.3),"Hyperbilirubinemia",
"Others"))))))))</f>
        <v>Others</v>
      </c>
      <c r="AJ146" s="5">
        <v>4</v>
      </c>
      <c r="AK146" s="5" t="s">
        <v>34</v>
      </c>
    </row>
    <row r="147" spans="1:37" ht="28.8" x14ac:dyDescent="0.3">
      <c r="A147" s="5">
        <v>150</v>
      </c>
      <c r="B147" s="5" t="s">
        <v>39</v>
      </c>
      <c r="C147" s="5">
        <v>39</v>
      </c>
      <c r="D147" s="2">
        <v>15</v>
      </c>
      <c r="E147" s="5">
        <v>180</v>
      </c>
      <c r="F147" s="5">
        <v>78</v>
      </c>
      <c r="G147" s="6">
        <v>24.074074074074076</v>
      </c>
      <c r="H147" s="9" t="s">
        <v>33</v>
      </c>
      <c r="I147" s="2">
        <v>36</v>
      </c>
      <c r="J147" s="5" t="s">
        <v>44</v>
      </c>
      <c r="K147" s="5" t="s">
        <v>44</v>
      </c>
      <c r="L147" s="5" t="s">
        <v>45</v>
      </c>
      <c r="M147" s="5" t="s">
        <v>44</v>
      </c>
      <c r="N147" s="5">
        <v>54.1</v>
      </c>
      <c r="O147" s="5">
        <v>42.8</v>
      </c>
      <c r="P147" s="5">
        <v>0.5</v>
      </c>
      <c r="Q147" s="5">
        <v>0.02</v>
      </c>
      <c r="R147" s="5">
        <v>0.48</v>
      </c>
      <c r="S147" s="8">
        <v>0.79112754158964871</v>
      </c>
      <c r="T147" s="5" t="s">
        <v>44</v>
      </c>
      <c r="U147" s="5"/>
      <c r="V147" s="5"/>
      <c r="W147" s="5"/>
      <c r="X147" s="5"/>
      <c r="Y147" s="5" t="s">
        <v>44</v>
      </c>
      <c r="Z147" s="5"/>
      <c r="AA147" s="5"/>
      <c r="AB147" s="9" t="s">
        <v>44</v>
      </c>
      <c r="AC147" s="2" t="s">
        <v>47</v>
      </c>
      <c r="AD147" s="2">
        <v>0</v>
      </c>
      <c r="AE147" s="2" t="s">
        <v>49</v>
      </c>
      <c r="AF147" s="2" t="str">
        <f t="shared" si="2"/>
        <v>Abnormal</v>
      </c>
      <c r="AG147" s="5">
        <v>1</v>
      </c>
      <c r="AH147" s="5" t="str">
        <f>IF(AG147=0,"Normal",
IF(AND(T147="Yes",S147&gt;=2),"ALD",
IF(AND(T147="Yes",S147&gt;=2,O147&gt;N147),"ALD",
IF(AND(T147="No",S147&gt;=2),"ALD",
IF(AND(G147&gt;=25,OR(T147="No",AND(T147="Yes",S147&lt;1))),"NAFLD",
IF(AND(N147&gt;O147,N147&gt;40,S147&lt;1),"NAFLD",
IF(AND(T147="Yes",S147&lt;1,G147&gt;=25,N147&gt;O147),"NAFLD",
IF(OR(P147&gt;1.2,Q147&gt;0.3),"Hyperbilirubinemia",
"Others"))))))))</f>
        <v>NAFLD</v>
      </c>
      <c r="AI147" s="5" t="str">
        <f>IF(AG147=0,"Normal",
IF(AND(T147="Yes",S147&gt;=2),"ALD (Confirmed)",
IF(AND(T147="Yes",S147&gt;=2,O147&gt;N147),"ALD (Confirmed)",
IF(AND(T147="No",S147&gt;=2),"ALD (Probable)",
IF(AND(G147&gt;=25,OR(T147="No",AND(T147="Yes",S147&lt;1))),"NAFLD",
IF(AND(N147&gt;O147,N147&gt;40,S147&lt;1),"NAFLD",
IF(AND(T147="Yes",S147&lt;1,G147&gt;=25,N147&gt;O147),"NAFLD",
IF(OR(P147&gt;1.2,Q147&gt;0.3),"Hyperbilirubinemia",
"Others"))))))))</f>
        <v>NAFLD</v>
      </c>
      <c r="AJ147" s="5">
        <v>14</v>
      </c>
      <c r="AK147" s="5" t="s">
        <v>34</v>
      </c>
    </row>
    <row r="148" spans="1:37" ht="43.2" x14ac:dyDescent="0.3">
      <c r="A148" s="5">
        <v>151</v>
      </c>
      <c r="B148" s="5" t="s">
        <v>39</v>
      </c>
      <c r="C148" s="5">
        <v>43</v>
      </c>
      <c r="D148" s="2">
        <v>21</v>
      </c>
      <c r="E148" s="5">
        <v>167</v>
      </c>
      <c r="F148" s="5">
        <v>60</v>
      </c>
      <c r="G148" s="6">
        <v>21.51385851052386</v>
      </c>
      <c r="H148" s="9" t="s">
        <v>33</v>
      </c>
      <c r="I148" s="2">
        <v>30</v>
      </c>
      <c r="J148" s="5" t="s">
        <v>44</v>
      </c>
      <c r="K148" s="5" t="s">
        <v>44</v>
      </c>
      <c r="L148" s="5" t="s">
        <v>44</v>
      </c>
      <c r="M148" s="5" t="s">
        <v>45</v>
      </c>
      <c r="N148" s="5">
        <v>13.75</v>
      </c>
      <c r="O148" s="5">
        <v>31.57</v>
      </c>
      <c r="P148" s="5">
        <v>0.31</v>
      </c>
      <c r="Q148" s="5">
        <v>0.09</v>
      </c>
      <c r="R148" s="5">
        <v>0.22</v>
      </c>
      <c r="S148" s="8">
        <v>2.2959999999999998</v>
      </c>
      <c r="T148" s="5" t="s">
        <v>44</v>
      </c>
      <c r="U148" s="5"/>
      <c r="V148" s="5"/>
      <c r="W148" s="5"/>
      <c r="X148" s="5"/>
      <c r="Y148" s="5" t="s">
        <v>44</v>
      </c>
      <c r="Z148" s="5"/>
      <c r="AA148" s="5"/>
      <c r="AB148" s="9" t="s">
        <v>44</v>
      </c>
      <c r="AC148" s="2" t="s">
        <v>46</v>
      </c>
      <c r="AD148" s="2">
        <v>0</v>
      </c>
      <c r="AE148" s="2" t="s">
        <v>49</v>
      </c>
      <c r="AF148" s="2" t="str">
        <f t="shared" si="2"/>
        <v>Normal</v>
      </c>
      <c r="AG148" s="5">
        <v>0</v>
      </c>
      <c r="AH148" s="5" t="str">
        <f>IF(AG148=0,"Normal",
IF(AND(T148="Yes",S148&gt;=2),"ALD",
IF(AND(T148="Yes",S148&gt;=2,O148&gt;N148),"ALD",
IF(AND(T148="No",S148&gt;=2),"ALD",
IF(AND(G148&gt;=25,OR(T148="No",AND(T148="Yes",S148&lt;1))),"NAFLD",
IF(AND(N148&gt;O148,N148&gt;40,S148&lt;1),"NAFLD",
IF(AND(T148="Yes",S148&lt;1,G148&gt;=25,N148&gt;O148),"NAFLD",
IF(OR(P148&gt;1.2,Q148&gt;0.3),"Hyperbilirubinemia",
"Others"))))))))</f>
        <v>Normal</v>
      </c>
      <c r="AI148" s="5" t="str">
        <f>IF(AG148=0,"Normal",
IF(AND(T148="Yes",S148&gt;=2),"ALD (Confirmed)",
IF(AND(T148="Yes",S148&gt;=2,O148&gt;N148),"ALD (Confirmed)",
IF(AND(T148="No",S148&gt;=2),"ALD (Probable)",
IF(AND(G148&gt;=25,OR(T148="No",AND(T148="Yes",S148&lt;1))),"NAFLD",
IF(AND(N148&gt;O148,N148&gt;40,S148&lt;1),"NAFLD",
IF(AND(T148="Yes",S148&lt;1,G148&gt;=25,N148&gt;O148),"NAFLD",
IF(OR(P148&gt;1.2,Q148&gt;0.3),"Hyperbilirubinemia",
"Others"))))))))</f>
        <v>Normal</v>
      </c>
      <c r="AJ148" s="5">
        <v>8</v>
      </c>
      <c r="AK148" s="5" t="s">
        <v>34</v>
      </c>
    </row>
    <row r="149" spans="1:37" ht="43.2" x14ac:dyDescent="0.3">
      <c r="A149" s="5">
        <v>152</v>
      </c>
      <c r="B149" s="5" t="s">
        <v>39</v>
      </c>
      <c r="C149" s="5">
        <v>54</v>
      </c>
      <c r="D149" s="2">
        <v>33</v>
      </c>
      <c r="E149" s="5">
        <v>167</v>
      </c>
      <c r="F149" s="5">
        <v>67</v>
      </c>
      <c r="G149" s="6">
        <v>24.023808670084978</v>
      </c>
      <c r="H149" s="9" t="s">
        <v>33</v>
      </c>
      <c r="I149" s="2">
        <v>32</v>
      </c>
      <c r="J149" s="5" t="s">
        <v>45</v>
      </c>
      <c r="K149" s="5" t="s">
        <v>45</v>
      </c>
      <c r="L149" s="5" t="s">
        <v>45</v>
      </c>
      <c r="M149" s="5" t="s">
        <v>45</v>
      </c>
      <c r="N149" s="5">
        <v>28.3</v>
      </c>
      <c r="O149" s="5">
        <v>38.6</v>
      </c>
      <c r="P149" s="5">
        <v>0.55000000000000004</v>
      </c>
      <c r="Q149" s="5">
        <v>0.01</v>
      </c>
      <c r="R149" s="5">
        <v>0.54</v>
      </c>
      <c r="S149" s="8">
        <v>1.3639575971731448</v>
      </c>
      <c r="T149" s="5" t="s">
        <v>45</v>
      </c>
      <c r="U149" s="5" t="s">
        <v>55</v>
      </c>
      <c r="V149" s="5" t="s">
        <v>61</v>
      </c>
      <c r="W149" s="5" t="s">
        <v>65</v>
      </c>
      <c r="X149" s="5" t="s">
        <v>72</v>
      </c>
      <c r="Y149" s="5" t="s">
        <v>44</v>
      </c>
      <c r="Z149" s="5"/>
      <c r="AA149" s="5"/>
      <c r="AB149" s="9" t="s">
        <v>44</v>
      </c>
      <c r="AC149" s="2" t="s">
        <v>46</v>
      </c>
      <c r="AD149" s="2">
        <v>0</v>
      </c>
      <c r="AE149" s="2" t="s">
        <v>48</v>
      </c>
      <c r="AF149" s="2" t="str">
        <f t="shared" si="2"/>
        <v>Normal</v>
      </c>
      <c r="AG149" s="5">
        <v>0</v>
      </c>
      <c r="AH149" s="5" t="str">
        <f>IF(AG149=0,"Normal",
IF(AND(T149="Yes",S149&gt;=2),"ALD",
IF(AND(T149="Yes",S149&gt;=2,O149&gt;N149),"ALD",
IF(AND(T149="No",S149&gt;=2),"ALD",
IF(AND(G149&gt;=25,OR(T149="No",AND(T149="Yes",S149&lt;1))),"NAFLD",
IF(AND(N149&gt;O149,N149&gt;40,S149&lt;1),"NAFLD",
IF(AND(T149="Yes",S149&lt;1,G149&gt;=25,N149&gt;O149),"NAFLD",
IF(OR(P149&gt;1.2,Q149&gt;0.3),"Hyperbilirubinemia",
"Others"))))))))</f>
        <v>Normal</v>
      </c>
      <c r="AI149" s="5" t="str">
        <f>IF(AG149=0,"Normal",
IF(AND(T149="Yes",S149&gt;=2),"ALD (Confirmed)",
IF(AND(T149="Yes",S149&gt;=2,O149&gt;N149),"ALD (Confirmed)",
IF(AND(T149="No",S149&gt;=2),"ALD (Probable)",
IF(AND(G149&gt;=25,OR(T149="No",AND(T149="Yes",S149&lt;1))),"NAFLD",
IF(AND(N149&gt;O149,N149&gt;40,S149&lt;1),"NAFLD",
IF(AND(T149="Yes",S149&lt;1,G149&gt;=25,N149&gt;O149),"NAFLD",
IF(OR(P149&gt;1.2,Q149&gt;0.3),"Hyperbilirubinemia",
"Others"))))))))</f>
        <v>Normal</v>
      </c>
      <c r="AJ149" s="5">
        <v>33</v>
      </c>
      <c r="AK149" s="5" t="s">
        <v>35</v>
      </c>
    </row>
    <row r="150" spans="1:37" ht="43.2" x14ac:dyDescent="0.3">
      <c r="A150" s="5">
        <v>153</v>
      </c>
      <c r="B150" s="5" t="s">
        <v>39</v>
      </c>
      <c r="C150" s="5">
        <v>35</v>
      </c>
      <c r="D150" s="2">
        <v>9</v>
      </c>
      <c r="E150" s="5">
        <v>173</v>
      </c>
      <c r="F150" s="5">
        <v>64</v>
      </c>
      <c r="G150" s="6">
        <v>21.383941996057334</v>
      </c>
      <c r="H150" s="9" t="s">
        <v>33</v>
      </c>
      <c r="I150" s="2">
        <v>32</v>
      </c>
      <c r="J150" s="5" t="s">
        <v>44</v>
      </c>
      <c r="K150" s="5" t="s">
        <v>44</v>
      </c>
      <c r="L150" s="5" t="s">
        <v>44</v>
      </c>
      <c r="M150" s="5" t="s">
        <v>44</v>
      </c>
      <c r="N150" s="5">
        <v>20.95</v>
      </c>
      <c r="O150" s="5">
        <v>57.2</v>
      </c>
      <c r="P150" s="5">
        <v>0.27</v>
      </c>
      <c r="Q150" s="5">
        <v>0.1</v>
      </c>
      <c r="R150" s="5">
        <v>0.17</v>
      </c>
      <c r="S150" s="8">
        <v>2.7303102625298332</v>
      </c>
      <c r="T150" s="5" t="s">
        <v>44</v>
      </c>
      <c r="U150" s="5"/>
      <c r="V150" s="5"/>
      <c r="W150" s="5"/>
      <c r="X150" s="5"/>
      <c r="Y150" s="5" t="s">
        <v>44</v>
      </c>
      <c r="Z150" s="5"/>
      <c r="AA150" s="5"/>
      <c r="AB150" s="9" t="s">
        <v>44</v>
      </c>
      <c r="AC150" s="2" t="s">
        <v>46</v>
      </c>
      <c r="AD150" s="2">
        <v>0</v>
      </c>
      <c r="AE150" s="2" t="s">
        <v>52</v>
      </c>
      <c r="AF150" s="2" t="str">
        <f t="shared" si="2"/>
        <v>Abnormal</v>
      </c>
      <c r="AG150" s="5">
        <v>1</v>
      </c>
      <c r="AH150" s="5" t="str">
        <f>IF(AG150=0,"Normal",
IF(AND(T150="Yes",S150&gt;=2),"ALD",
IF(AND(T150="Yes",S150&gt;=2,O150&gt;N150),"ALD",
IF(AND(T150="No",S150&gt;=2),"ALD",
IF(AND(G150&gt;=25,OR(T150="No",AND(T150="Yes",S150&lt;1))),"NAFLD",
IF(AND(N150&gt;O150,N150&gt;40,S150&lt;1),"NAFLD",
IF(AND(T150="Yes",S150&lt;1,G150&gt;=25,N150&gt;O150),"NAFLD",
IF(OR(P150&gt;1.2,Q150&gt;0.3),"Hyperbilirubinemia",
"Others"))))))))</f>
        <v>ALD</v>
      </c>
      <c r="AI150" s="5" t="str">
        <f>IF(AG150=0,"Normal",
IF(AND(T150="Yes",S150&gt;=2),"ALD (Confirmed)",
IF(AND(T150="Yes",S150&gt;=2,O150&gt;N150),"ALD (Confirmed)",
IF(AND(T150="No",S150&gt;=2),"ALD (Probable)",
IF(AND(G150&gt;=25,OR(T150="No",AND(T150="Yes",S150&lt;1))),"NAFLD",
IF(AND(N150&gt;O150,N150&gt;40,S150&lt;1),"NAFLD",
IF(AND(T150="Yes",S150&lt;1,G150&gt;=25,N150&gt;O150),"NAFLD",
IF(OR(P150&gt;1.2,Q150&gt;0.3),"Hyperbilirubinemia",
"Others"))))))))</f>
        <v>ALD (Probable)</v>
      </c>
      <c r="AJ150" s="5">
        <v>10</v>
      </c>
      <c r="AK150" s="5" t="s">
        <v>34</v>
      </c>
    </row>
    <row r="151" spans="1:37" ht="43.2" x14ac:dyDescent="0.3">
      <c r="A151" s="5">
        <v>154</v>
      </c>
      <c r="B151" s="5" t="s">
        <v>39</v>
      </c>
      <c r="C151" s="5">
        <v>46</v>
      </c>
      <c r="D151" s="2">
        <v>20</v>
      </c>
      <c r="E151" s="5">
        <v>179</v>
      </c>
      <c r="F151" s="5">
        <v>74</v>
      </c>
      <c r="G151" s="6">
        <v>23.095409007209511</v>
      </c>
      <c r="H151" s="9" t="s">
        <v>33</v>
      </c>
      <c r="I151" s="2">
        <v>32</v>
      </c>
      <c r="J151" s="5" t="s">
        <v>44</v>
      </c>
      <c r="K151" s="5" t="s">
        <v>45</v>
      </c>
      <c r="L151" s="5" t="s">
        <v>44</v>
      </c>
      <c r="M151" s="5" t="s">
        <v>44</v>
      </c>
      <c r="N151" s="5">
        <v>35.200000000000003</v>
      </c>
      <c r="O151" s="5">
        <v>39.200000000000003</v>
      </c>
      <c r="P151" s="5">
        <v>0.1</v>
      </c>
      <c r="Q151" s="5">
        <v>0.02</v>
      </c>
      <c r="R151" s="5">
        <v>0.08</v>
      </c>
      <c r="S151" s="8">
        <v>1.1136363636363635</v>
      </c>
      <c r="T151" s="5" t="s">
        <v>44</v>
      </c>
      <c r="U151" s="5"/>
      <c r="V151" s="5"/>
      <c r="W151" s="5"/>
      <c r="X151" s="5"/>
      <c r="Y151" s="5" t="s">
        <v>44</v>
      </c>
      <c r="Z151" s="5"/>
      <c r="AA151" s="5"/>
      <c r="AB151" s="9" t="s">
        <v>44</v>
      </c>
      <c r="AC151" s="2" t="s">
        <v>46</v>
      </c>
      <c r="AD151" s="2">
        <v>0</v>
      </c>
      <c r="AE151" s="2" t="s">
        <v>50</v>
      </c>
      <c r="AF151" s="2" t="str">
        <f t="shared" si="2"/>
        <v>Normal</v>
      </c>
      <c r="AG151" s="5">
        <v>0</v>
      </c>
      <c r="AH151" s="5" t="str">
        <f>IF(AG151=0,"Normal",
IF(AND(T151="Yes",S151&gt;=2),"ALD",
IF(AND(T151="Yes",S151&gt;=2,O151&gt;N151),"ALD",
IF(AND(T151="No",S151&gt;=2),"ALD",
IF(AND(G151&gt;=25,OR(T151="No",AND(T151="Yes",S151&lt;1))),"NAFLD",
IF(AND(N151&gt;O151,N151&gt;40,S151&lt;1),"NAFLD",
IF(AND(T151="Yes",S151&lt;1,G151&gt;=25,N151&gt;O151),"NAFLD",
IF(OR(P151&gt;1.2,Q151&gt;0.3),"Hyperbilirubinemia",
"Others"))))))))</f>
        <v>Normal</v>
      </c>
      <c r="AI151" s="5" t="str">
        <f>IF(AG151=0,"Normal",
IF(AND(T151="Yes",S151&gt;=2),"ALD (Confirmed)",
IF(AND(T151="Yes",S151&gt;=2,O151&gt;N151),"ALD (Confirmed)",
IF(AND(T151="No",S151&gt;=2),"ALD (Probable)",
IF(AND(G151&gt;=25,OR(T151="No",AND(T151="Yes",S151&lt;1))),"NAFLD",
IF(AND(N151&gt;O151,N151&gt;40,S151&lt;1),"NAFLD",
IF(AND(T151="Yes",S151&lt;1,G151&gt;=25,N151&gt;O151),"NAFLD",
IF(OR(P151&gt;1.2,Q151&gt;0.3),"Hyperbilirubinemia",
"Others"))))))))</f>
        <v>Normal</v>
      </c>
      <c r="AJ151" s="5">
        <v>22</v>
      </c>
      <c r="AK151" s="5" t="s">
        <v>35</v>
      </c>
    </row>
    <row r="152" spans="1:37" ht="43.2" x14ac:dyDescent="0.3">
      <c r="A152" s="5">
        <v>155</v>
      </c>
      <c r="B152" s="5" t="s">
        <v>39</v>
      </c>
      <c r="C152" s="5">
        <v>31</v>
      </c>
      <c r="D152" s="2">
        <v>9</v>
      </c>
      <c r="E152" s="5">
        <v>178</v>
      </c>
      <c r="F152" s="5">
        <v>74</v>
      </c>
      <c r="G152" s="6">
        <v>23.355636914530994</v>
      </c>
      <c r="H152" s="9" t="s">
        <v>33</v>
      </c>
      <c r="I152" s="2">
        <v>36</v>
      </c>
      <c r="J152" s="5" t="s">
        <v>44</v>
      </c>
      <c r="K152" s="5" t="s">
        <v>44</v>
      </c>
      <c r="L152" s="5" t="s">
        <v>44</v>
      </c>
      <c r="M152" s="5" t="s">
        <v>44</v>
      </c>
      <c r="N152" s="5">
        <v>34.700000000000003</v>
      </c>
      <c r="O152" s="5">
        <v>39.1</v>
      </c>
      <c r="P152" s="5">
        <v>0.6</v>
      </c>
      <c r="Q152" s="5">
        <v>0.04</v>
      </c>
      <c r="R152" s="5">
        <v>0.56000000000000005</v>
      </c>
      <c r="S152" s="8">
        <v>1.1268011527377522</v>
      </c>
      <c r="T152" s="5" t="s">
        <v>44</v>
      </c>
      <c r="U152" s="5"/>
      <c r="V152" s="5"/>
      <c r="W152" s="5"/>
      <c r="X152" s="5"/>
      <c r="Y152" s="5" t="s">
        <v>44</v>
      </c>
      <c r="Z152" s="5"/>
      <c r="AA152" s="5"/>
      <c r="AB152" s="9" t="s">
        <v>44</v>
      </c>
      <c r="AC152" s="2" t="s">
        <v>46</v>
      </c>
      <c r="AD152" s="2">
        <v>0</v>
      </c>
      <c r="AE152" s="2" t="s">
        <v>52</v>
      </c>
      <c r="AF152" s="2" t="str">
        <f t="shared" si="2"/>
        <v>Normal</v>
      </c>
      <c r="AG152" s="5">
        <v>0</v>
      </c>
      <c r="AH152" s="5" t="str">
        <f>IF(AG152=0,"Normal",
IF(AND(T152="Yes",S152&gt;=2),"ALD",
IF(AND(T152="Yes",S152&gt;=2,O152&gt;N152),"ALD",
IF(AND(T152="No",S152&gt;=2),"ALD",
IF(AND(G152&gt;=25,OR(T152="No",AND(T152="Yes",S152&lt;1))),"NAFLD",
IF(AND(N152&gt;O152,N152&gt;40,S152&lt;1),"NAFLD",
IF(AND(T152="Yes",S152&lt;1,G152&gt;=25,N152&gt;O152),"NAFLD",
IF(OR(P152&gt;1.2,Q152&gt;0.3),"Hyperbilirubinemia",
"Others"))))))))</f>
        <v>Normal</v>
      </c>
      <c r="AI152" s="5" t="str">
        <f>IF(AG152=0,"Normal",
IF(AND(T152="Yes",S152&gt;=2),"ALD (Confirmed)",
IF(AND(T152="Yes",S152&gt;=2,O152&gt;N152),"ALD (Confirmed)",
IF(AND(T152="No",S152&gt;=2),"ALD (Probable)",
IF(AND(G152&gt;=25,OR(T152="No",AND(T152="Yes",S152&lt;1))),"NAFLD",
IF(AND(N152&gt;O152,N152&gt;40,S152&lt;1),"NAFLD",
IF(AND(T152="Yes",S152&lt;1,G152&gt;=25,N152&gt;O152),"NAFLD",
IF(OR(P152&gt;1.2,Q152&gt;0.3),"Hyperbilirubinemia",
"Others"))))))))</f>
        <v>Normal</v>
      </c>
      <c r="AJ152" s="5">
        <v>6</v>
      </c>
      <c r="AK152" s="5" t="s">
        <v>34</v>
      </c>
    </row>
    <row r="153" spans="1:37" ht="28.8" x14ac:dyDescent="0.3">
      <c r="A153" s="5">
        <v>156</v>
      </c>
      <c r="B153" s="5" t="s">
        <v>39</v>
      </c>
      <c r="C153" s="5">
        <v>37</v>
      </c>
      <c r="D153" s="2">
        <v>10</v>
      </c>
      <c r="E153" s="5">
        <v>171</v>
      </c>
      <c r="F153" s="5">
        <v>70</v>
      </c>
      <c r="G153" s="6">
        <v>23.938989774631509</v>
      </c>
      <c r="H153" s="9" t="s">
        <v>33</v>
      </c>
      <c r="I153" s="2">
        <v>32</v>
      </c>
      <c r="J153" s="5" t="s">
        <v>44</v>
      </c>
      <c r="K153" s="5" t="s">
        <v>44</v>
      </c>
      <c r="L153" s="5" t="s">
        <v>44</v>
      </c>
      <c r="M153" s="5" t="s">
        <v>44</v>
      </c>
      <c r="N153" s="5">
        <v>26.82</v>
      </c>
      <c r="O153" s="5">
        <v>43.71</v>
      </c>
      <c r="P153" s="5">
        <v>0.36</v>
      </c>
      <c r="Q153" s="5">
        <v>0.09</v>
      </c>
      <c r="R153" s="5">
        <v>0.27</v>
      </c>
      <c r="S153" s="8">
        <v>1.6297539149888143</v>
      </c>
      <c r="T153" s="5" t="s">
        <v>44</v>
      </c>
      <c r="U153" s="5"/>
      <c r="V153" s="5"/>
      <c r="W153" s="5"/>
      <c r="X153" s="5"/>
      <c r="Y153" s="5" t="s">
        <v>44</v>
      </c>
      <c r="Z153" s="5"/>
      <c r="AA153" s="5"/>
      <c r="AB153" s="9" t="s">
        <v>44</v>
      </c>
      <c r="AC153" s="2" t="s">
        <v>47</v>
      </c>
      <c r="AD153" s="2">
        <v>0</v>
      </c>
      <c r="AE153" s="2" t="s">
        <v>49</v>
      </c>
      <c r="AF153" s="2" t="str">
        <f t="shared" si="2"/>
        <v>Abnormal</v>
      </c>
      <c r="AG153" s="5">
        <v>1</v>
      </c>
      <c r="AH153" s="5" t="str">
        <f>IF(AG153=0,"Normal",
IF(AND(T153="Yes",S153&gt;=2),"ALD",
IF(AND(T153="Yes",S153&gt;=2,O153&gt;N153),"ALD",
IF(AND(T153="No",S153&gt;=2),"ALD",
IF(AND(G153&gt;=25,OR(T153="No",AND(T153="Yes",S153&lt;1))),"NAFLD",
IF(AND(N153&gt;O153,N153&gt;40,S153&lt;1),"NAFLD",
IF(AND(T153="Yes",S153&lt;1,G153&gt;=25,N153&gt;O153),"NAFLD",
IF(OR(P153&gt;1.2,Q153&gt;0.3),"Hyperbilirubinemia",
"Others"))))))))</f>
        <v>Others</v>
      </c>
      <c r="AI153" s="5" t="str">
        <f>IF(AG153=0,"Normal",
IF(AND(T153="Yes",S153&gt;=2),"ALD (Confirmed)",
IF(AND(T153="Yes",S153&gt;=2,O153&gt;N153),"ALD (Confirmed)",
IF(AND(T153="No",S153&gt;=2),"ALD (Probable)",
IF(AND(G153&gt;=25,OR(T153="No",AND(T153="Yes",S153&lt;1))),"NAFLD",
IF(AND(N153&gt;O153,N153&gt;40,S153&lt;1),"NAFLD",
IF(AND(T153="Yes",S153&lt;1,G153&gt;=25,N153&gt;O153),"NAFLD",
IF(OR(P153&gt;1.2,Q153&gt;0.3),"Hyperbilirubinemia",
"Others"))))))))</f>
        <v>Others</v>
      </c>
      <c r="AJ153" s="5">
        <v>8</v>
      </c>
      <c r="AK153" s="5" t="s">
        <v>34</v>
      </c>
    </row>
    <row r="154" spans="1:37" ht="28.8" x14ac:dyDescent="0.3">
      <c r="A154" s="5">
        <v>157</v>
      </c>
      <c r="B154" s="5" t="s">
        <v>39</v>
      </c>
      <c r="C154" s="5">
        <v>40</v>
      </c>
      <c r="D154" s="2">
        <v>18</v>
      </c>
      <c r="E154" s="5">
        <v>173</v>
      </c>
      <c r="F154" s="5">
        <v>74</v>
      </c>
      <c r="G154" s="6">
        <v>24.725182932941294</v>
      </c>
      <c r="H154" s="9" t="s">
        <v>33</v>
      </c>
      <c r="I154" s="2">
        <v>34</v>
      </c>
      <c r="J154" s="5" t="s">
        <v>44</v>
      </c>
      <c r="K154" s="5" t="s">
        <v>44</v>
      </c>
      <c r="L154" s="5" t="s">
        <v>44</v>
      </c>
      <c r="M154" s="5" t="s">
        <v>44</v>
      </c>
      <c r="N154" s="5">
        <v>23.97</v>
      </c>
      <c r="O154" s="5">
        <v>43.87</v>
      </c>
      <c r="P154" s="5">
        <v>0.3</v>
      </c>
      <c r="Q154" s="5">
        <v>0.04</v>
      </c>
      <c r="R154" s="5">
        <v>0.26</v>
      </c>
      <c r="S154" s="8">
        <v>1.8302044221944096</v>
      </c>
      <c r="T154" s="5" t="s">
        <v>44</v>
      </c>
      <c r="U154" s="5"/>
      <c r="V154" s="5"/>
      <c r="W154" s="5"/>
      <c r="X154" s="5"/>
      <c r="Y154" s="5" t="s">
        <v>44</v>
      </c>
      <c r="Z154" s="5"/>
      <c r="AA154" s="5"/>
      <c r="AB154" s="9" t="s">
        <v>44</v>
      </c>
      <c r="AC154" s="2" t="s">
        <v>47</v>
      </c>
      <c r="AD154" s="2">
        <v>0</v>
      </c>
      <c r="AE154" s="2" t="s">
        <v>49</v>
      </c>
      <c r="AF154" s="2" t="str">
        <f t="shared" si="2"/>
        <v>Abnormal</v>
      </c>
      <c r="AG154" s="5">
        <v>1</v>
      </c>
      <c r="AH154" s="5" t="str">
        <f>IF(AG154=0,"Normal",
IF(AND(T154="Yes",S154&gt;=2),"ALD",
IF(AND(T154="Yes",S154&gt;=2,O154&gt;N154),"ALD",
IF(AND(T154="No",S154&gt;=2),"ALD",
IF(AND(G154&gt;=25,OR(T154="No",AND(T154="Yes",S154&lt;1))),"NAFLD",
IF(AND(N154&gt;O154,N154&gt;40,S154&lt;1),"NAFLD",
IF(AND(T154="Yes",S154&lt;1,G154&gt;=25,N154&gt;O154),"NAFLD",
IF(OR(P154&gt;1.2,Q154&gt;0.3),"Hyperbilirubinemia",
"Others"))))))))</f>
        <v>Others</v>
      </c>
      <c r="AI154" s="5" t="str">
        <f>IF(AG154=0,"Normal",
IF(AND(T154="Yes",S154&gt;=2),"ALD (Confirmed)",
IF(AND(T154="Yes",S154&gt;=2,O154&gt;N154),"ALD (Confirmed)",
IF(AND(T154="No",S154&gt;=2),"ALD (Probable)",
IF(AND(G154&gt;=25,OR(T154="No",AND(T154="Yes",S154&lt;1))),"NAFLD",
IF(AND(N154&gt;O154,N154&gt;40,S154&lt;1),"NAFLD",
IF(AND(T154="Yes",S154&lt;1,G154&gt;=25,N154&gt;O154),"NAFLD",
IF(OR(P154&gt;1.2,Q154&gt;0.3),"Hyperbilirubinemia",
"Others"))))))))</f>
        <v>Others</v>
      </c>
      <c r="AJ154" s="5">
        <v>8</v>
      </c>
      <c r="AK154" s="5" t="s">
        <v>34</v>
      </c>
    </row>
    <row r="155" spans="1:37" ht="43.2" x14ac:dyDescent="0.3">
      <c r="A155" s="5">
        <v>158</v>
      </c>
      <c r="B155" s="5" t="s">
        <v>39</v>
      </c>
      <c r="C155" s="5">
        <v>36</v>
      </c>
      <c r="D155" s="2">
        <v>10</v>
      </c>
      <c r="E155" s="5">
        <v>183</v>
      </c>
      <c r="F155" s="5">
        <v>98</v>
      </c>
      <c r="G155" s="6">
        <v>29.263340201260117</v>
      </c>
      <c r="H155" s="9" t="s">
        <v>42</v>
      </c>
      <c r="I155" s="2">
        <v>36</v>
      </c>
      <c r="J155" s="5" t="s">
        <v>44</v>
      </c>
      <c r="K155" s="5" t="s">
        <v>44</v>
      </c>
      <c r="L155" s="5" t="s">
        <v>44</v>
      </c>
      <c r="M155" s="5" t="s">
        <v>44</v>
      </c>
      <c r="N155" s="5">
        <v>39.6</v>
      </c>
      <c r="O155" s="5">
        <v>35.200000000000003</v>
      </c>
      <c r="P155" s="5">
        <v>0.47</v>
      </c>
      <c r="Q155" s="5">
        <v>7.0000000000000007E-2</v>
      </c>
      <c r="R155" s="5">
        <v>0.4</v>
      </c>
      <c r="S155" s="8">
        <v>0.88888888888888895</v>
      </c>
      <c r="T155" s="5" t="s">
        <v>44</v>
      </c>
      <c r="U155" s="5"/>
      <c r="V155" s="5"/>
      <c r="W155" s="5"/>
      <c r="X155" s="5"/>
      <c r="Y155" s="5" t="s">
        <v>44</v>
      </c>
      <c r="Z155" s="5"/>
      <c r="AA155" s="5"/>
      <c r="AB155" s="9" t="s">
        <v>44</v>
      </c>
      <c r="AC155" s="2" t="s">
        <v>46</v>
      </c>
      <c r="AD155" s="2">
        <v>0</v>
      </c>
      <c r="AE155" s="2" t="s">
        <v>52</v>
      </c>
      <c r="AF155" s="2" t="str">
        <f t="shared" si="2"/>
        <v>Normal</v>
      </c>
      <c r="AG155" s="5">
        <v>0</v>
      </c>
      <c r="AH155" s="5" t="str">
        <f>IF(AG155=0,"Normal",
IF(AND(T155="Yes",S155&gt;=2),"ALD",
IF(AND(T155="Yes",S155&gt;=2,O155&gt;N155),"ALD",
IF(AND(T155="No",S155&gt;=2),"ALD",
IF(AND(G155&gt;=25,OR(T155="No",AND(T155="Yes",S155&lt;1))),"NAFLD",
IF(AND(N155&gt;O155,N155&gt;40,S155&lt;1),"NAFLD",
IF(AND(T155="Yes",S155&lt;1,G155&gt;=25,N155&gt;O155),"NAFLD",
IF(OR(P155&gt;1.2,Q155&gt;0.3),"Hyperbilirubinemia",
"Others"))))))))</f>
        <v>Normal</v>
      </c>
      <c r="AI155" s="5" t="str">
        <f>IF(AG155=0,"Normal",
IF(AND(T155="Yes",S155&gt;=2),"ALD (Confirmed)",
IF(AND(T155="Yes",S155&gt;=2,O155&gt;N155),"ALD (Confirmed)",
IF(AND(T155="No",S155&gt;=2),"ALD (Probable)",
IF(AND(G155&gt;=25,OR(T155="No",AND(T155="Yes",S155&lt;1))),"NAFLD",
IF(AND(N155&gt;O155,N155&gt;40,S155&lt;1),"NAFLD",
IF(AND(T155="Yes",S155&lt;1,G155&gt;=25,N155&gt;O155),"NAFLD",
IF(OR(P155&gt;1.2,Q155&gt;0.3),"Hyperbilirubinemia",
"Others"))))))))</f>
        <v>Normal</v>
      </c>
      <c r="AJ155" s="5">
        <v>17</v>
      </c>
      <c r="AK155" s="5" t="s">
        <v>34</v>
      </c>
    </row>
    <row r="156" spans="1:37" ht="43.2" x14ac:dyDescent="0.3">
      <c r="A156" s="5">
        <v>159</v>
      </c>
      <c r="B156" s="5" t="s">
        <v>39</v>
      </c>
      <c r="C156" s="5">
        <v>42</v>
      </c>
      <c r="D156" s="2">
        <v>17</v>
      </c>
      <c r="E156" s="5">
        <v>171</v>
      </c>
      <c r="F156" s="5">
        <v>70</v>
      </c>
      <c r="G156" s="6">
        <v>23.938989774631509</v>
      </c>
      <c r="H156" s="9" t="s">
        <v>33</v>
      </c>
      <c r="I156" s="2">
        <v>34</v>
      </c>
      <c r="J156" s="5" t="s">
        <v>44</v>
      </c>
      <c r="K156" s="5" t="s">
        <v>44</v>
      </c>
      <c r="L156" s="5" t="s">
        <v>44</v>
      </c>
      <c r="M156" s="5" t="s">
        <v>44</v>
      </c>
      <c r="N156" s="5">
        <v>27.7</v>
      </c>
      <c r="O156" s="5">
        <v>38.6</v>
      </c>
      <c r="P156" s="5">
        <v>0.33</v>
      </c>
      <c r="Q156" s="5">
        <v>0.1</v>
      </c>
      <c r="R156" s="5">
        <v>0.23</v>
      </c>
      <c r="S156" s="8">
        <v>1.3935018050541517</v>
      </c>
      <c r="T156" s="5" t="s">
        <v>44</v>
      </c>
      <c r="U156" s="5"/>
      <c r="V156" s="5"/>
      <c r="W156" s="5"/>
      <c r="X156" s="5"/>
      <c r="Y156" s="5" t="s">
        <v>44</v>
      </c>
      <c r="Z156" s="5"/>
      <c r="AA156" s="5"/>
      <c r="AB156" s="9" t="s">
        <v>44</v>
      </c>
      <c r="AC156" s="2" t="s">
        <v>46</v>
      </c>
      <c r="AD156" s="2">
        <v>0</v>
      </c>
      <c r="AE156" s="2" t="s">
        <v>50</v>
      </c>
      <c r="AF156" s="2" t="str">
        <f t="shared" si="2"/>
        <v>Normal</v>
      </c>
      <c r="AG156" s="5">
        <v>0</v>
      </c>
      <c r="AH156" s="5" t="str">
        <f>IF(AG156=0,"Normal",
IF(AND(T156="Yes",S156&gt;=2),"ALD",
IF(AND(T156="Yes",S156&gt;=2,O156&gt;N156),"ALD",
IF(AND(T156="No",S156&gt;=2),"ALD",
IF(AND(G156&gt;=25,OR(T156="No",AND(T156="Yes",S156&lt;1))),"NAFLD",
IF(AND(N156&gt;O156,N156&gt;40,S156&lt;1),"NAFLD",
IF(AND(T156="Yes",S156&lt;1,G156&gt;=25,N156&gt;O156),"NAFLD",
IF(OR(P156&gt;1.2,Q156&gt;0.3),"Hyperbilirubinemia",
"Others"))))))))</f>
        <v>Normal</v>
      </c>
      <c r="AI156" s="5" t="str">
        <f>IF(AG156=0,"Normal",
IF(AND(T156="Yes",S156&gt;=2),"ALD (Confirmed)",
IF(AND(T156="Yes",S156&gt;=2,O156&gt;N156),"ALD (Confirmed)",
IF(AND(T156="No",S156&gt;=2),"ALD (Probable)",
IF(AND(G156&gt;=25,OR(T156="No",AND(T156="Yes",S156&lt;1))),"NAFLD",
IF(AND(N156&gt;O156,N156&gt;40,S156&lt;1),"NAFLD",
IF(AND(T156="Yes",S156&lt;1,G156&gt;=25,N156&gt;O156),"NAFLD",
IF(OR(P156&gt;1.2,Q156&gt;0.3),"Hyperbilirubinemia",
"Others"))))))))</f>
        <v>Normal</v>
      </c>
      <c r="AJ156" s="5">
        <v>12</v>
      </c>
      <c r="AK156" s="5" t="s">
        <v>34</v>
      </c>
    </row>
    <row r="157" spans="1:37" ht="28.8" x14ac:dyDescent="0.3">
      <c r="A157" s="5">
        <v>160</v>
      </c>
      <c r="B157" s="5" t="s">
        <v>39</v>
      </c>
      <c r="C157" s="5">
        <v>37</v>
      </c>
      <c r="D157" s="2">
        <v>14</v>
      </c>
      <c r="E157" s="5">
        <v>170</v>
      </c>
      <c r="F157" s="5">
        <v>55</v>
      </c>
      <c r="G157" s="6">
        <v>19.031141868512112</v>
      </c>
      <c r="H157" s="9" t="s">
        <v>33</v>
      </c>
      <c r="I157" s="2">
        <v>30</v>
      </c>
      <c r="J157" s="5" t="s">
        <v>44</v>
      </c>
      <c r="K157" s="5" t="s">
        <v>44</v>
      </c>
      <c r="L157" s="5" t="s">
        <v>44</v>
      </c>
      <c r="M157" s="5" t="s">
        <v>45</v>
      </c>
      <c r="N157" s="5">
        <v>31.7</v>
      </c>
      <c r="O157" s="5">
        <v>39.6</v>
      </c>
      <c r="P157" s="5">
        <v>0.66</v>
      </c>
      <c r="Q157" s="5">
        <v>0.06</v>
      </c>
      <c r="R157" s="5">
        <v>0.6</v>
      </c>
      <c r="S157" s="8">
        <v>1.249211356466877</v>
      </c>
      <c r="T157" s="5" t="s">
        <v>44</v>
      </c>
      <c r="U157" s="5"/>
      <c r="V157" s="5"/>
      <c r="W157" s="5"/>
      <c r="X157" s="5"/>
      <c r="Y157" s="5" t="s">
        <v>44</v>
      </c>
      <c r="Z157" s="5"/>
      <c r="AA157" s="5"/>
      <c r="AB157" s="9" t="s">
        <v>44</v>
      </c>
      <c r="AC157" s="2" t="s">
        <v>47</v>
      </c>
      <c r="AD157" s="2">
        <v>0</v>
      </c>
      <c r="AE157" s="2" t="s">
        <v>49</v>
      </c>
      <c r="AF157" s="2" t="str">
        <f t="shared" si="2"/>
        <v>Normal</v>
      </c>
      <c r="AG157" s="5">
        <v>0</v>
      </c>
      <c r="AH157" s="5" t="str">
        <f>IF(AG157=0,"Normal",
IF(AND(T157="Yes",S157&gt;=2),"ALD",
IF(AND(T157="Yes",S157&gt;=2,O157&gt;N157),"ALD",
IF(AND(T157="No",S157&gt;=2),"ALD",
IF(AND(G157&gt;=25,OR(T157="No",AND(T157="Yes",S157&lt;1))),"NAFLD",
IF(AND(N157&gt;O157,N157&gt;40,S157&lt;1),"NAFLD",
IF(AND(T157="Yes",S157&lt;1,G157&gt;=25,N157&gt;O157),"NAFLD",
IF(OR(P157&gt;1.2,Q157&gt;0.3),"Hyperbilirubinemia",
"Others"))))))))</f>
        <v>Normal</v>
      </c>
      <c r="AI157" s="5" t="str">
        <f>IF(AG157=0,"Normal",
IF(AND(T157="Yes",S157&gt;=2),"ALD (Confirmed)",
IF(AND(T157="Yes",S157&gt;=2,O157&gt;N157),"ALD (Confirmed)",
IF(AND(T157="No",S157&gt;=2),"ALD (Probable)",
IF(AND(G157&gt;=25,OR(T157="No",AND(T157="Yes",S157&lt;1))),"NAFLD",
IF(AND(N157&gt;O157,N157&gt;40,S157&lt;1),"NAFLD",
IF(AND(T157="Yes",S157&lt;1,G157&gt;=25,N157&gt;O157),"NAFLD",
IF(OR(P157&gt;1.2,Q157&gt;0.3),"Hyperbilirubinemia",
"Others"))))))))</f>
        <v>Normal</v>
      </c>
      <c r="AJ157" s="5">
        <v>6</v>
      </c>
      <c r="AK157" s="5" t="s">
        <v>34</v>
      </c>
    </row>
    <row r="158" spans="1:37" ht="43.2" x14ac:dyDescent="0.3">
      <c r="A158" s="5">
        <v>161</v>
      </c>
      <c r="B158" s="5" t="s">
        <v>39</v>
      </c>
      <c r="C158" s="5">
        <v>40</v>
      </c>
      <c r="D158" s="2">
        <v>16</v>
      </c>
      <c r="E158" s="5">
        <v>170</v>
      </c>
      <c r="F158" s="5">
        <v>73</v>
      </c>
      <c r="G158" s="6">
        <v>25.259515570934255</v>
      </c>
      <c r="H158" s="9" t="s">
        <v>42</v>
      </c>
      <c r="I158" s="2">
        <v>32</v>
      </c>
      <c r="J158" s="5" t="s">
        <v>44</v>
      </c>
      <c r="K158" s="5" t="s">
        <v>44</v>
      </c>
      <c r="L158" s="5" t="s">
        <v>44</v>
      </c>
      <c r="M158" s="5" t="s">
        <v>44</v>
      </c>
      <c r="N158" s="5">
        <v>25.83</v>
      </c>
      <c r="O158" s="5">
        <v>43.52</v>
      </c>
      <c r="P158" s="5">
        <v>0.18</v>
      </c>
      <c r="Q158" s="5">
        <v>7.0000000000000007E-2</v>
      </c>
      <c r="R158" s="5">
        <v>0.11</v>
      </c>
      <c r="S158" s="8">
        <v>1.6848625629113436</v>
      </c>
      <c r="T158" s="5" t="s">
        <v>44</v>
      </c>
      <c r="U158" s="5"/>
      <c r="V158" s="5"/>
      <c r="W158" s="5"/>
      <c r="X158" s="5"/>
      <c r="Y158" s="5" t="s">
        <v>44</v>
      </c>
      <c r="Z158" s="5"/>
      <c r="AA158" s="5"/>
      <c r="AB158" s="9" t="s">
        <v>44</v>
      </c>
      <c r="AC158" s="2" t="s">
        <v>46</v>
      </c>
      <c r="AD158" s="2">
        <v>0</v>
      </c>
      <c r="AE158" s="2" t="s">
        <v>52</v>
      </c>
      <c r="AF158" s="2" t="str">
        <f t="shared" si="2"/>
        <v>Abnormal</v>
      </c>
      <c r="AG158" s="5">
        <v>1</v>
      </c>
      <c r="AH158" s="5" t="str">
        <f>IF(AG158=0,"Normal",
IF(AND(T158="Yes",S158&gt;=2),"ALD",
IF(AND(T158="Yes",S158&gt;=2,O158&gt;N158),"ALD",
IF(AND(T158="No",S158&gt;=2),"ALD",
IF(AND(G158&gt;=25,OR(T158="No",AND(T158="Yes",S158&lt;1))),"NAFLD",
IF(AND(N158&gt;O158,N158&gt;40,S158&lt;1),"NAFLD",
IF(AND(T158="Yes",S158&lt;1,G158&gt;=25,N158&gt;O158),"NAFLD",
IF(OR(P158&gt;1.2,Q158&gt;0.3),"Hyperbilirubinemia",
"Others"))))))))</f>
        <v>NAFLD</v>
      </c>
      <c r="AI158" s="5" t="str">
        <f>IF(AG158=0,"Normal",
IF(AND(T158="Yes",S158&gt;=2),"ALD (Confirmed)",
IF(AND(T158="Yes",S158&gt;=2,O158&gt;N158),"ALD (Confirmed)",
IF(AND(T158="No",S158&gt;=2),"ALD (Probable)",
IF(AND(G158&gt;=25,OR(T158="No",AND(T158="Yes",S158&lt;1))),"NAFLD",
IF(AND(N158&gt;O158,N158&gt;40,S158&lt;1),"NAFLD",
IF(AND(T158="Yes",S158&lt;1,G158&gt;=25,N158&gt;O158),"NAFLD",
IF(OR(P158&gt;1.2,Q158&gt;0.3),"Hyperbilirubinemia",
"Others"))))))))</f>
        <v>NAFLD</v>
      </c>
      <c r="AJ158" s="5">
        <v>15</v>
      </c>
      <c r="AK158" s="5" t="s">
        <v>34</v>
      </c>
    </row>
    <row r="159" spans="1:37" ht="28.8" x14ac:dyDescent="0.3">
      <c r="A159" s="5">
        <v>163</v>
      </c>
      <c r="B159" s="5" t="s">
        <v>39</v>
      </c>
      <c r="C159" s="5">
        <v>40</v>
      </c>
      <c r="D159" s="2">
        <v>17</v>
      </c>
      <c r="E159" s="5">
        <v>168</v>
      </c>
      <c r="F159" s="5">
        <v>71</v>
      </c>
      <c r="G159" s="6">
        <v>25.155895691609977</v>
      </c>
      <c r="H159" s="9" t="s">
        <v>42</v>
      </c>
      <c r="I159" s="2">
        <v>32</v>
      </c>
      <c r="J159" s="5" t="s">
        <v>44</v>
      </c>
      <c r="K159" s="5" t="s">
        <v>44</v>
      </c>
      <c r="L159" s="5" t="s">
        <v>44</v>
      </c>
      <c r="M159" s="5" t="s">
        <v>44</v>
      </c>
      <c r="N159" s="5">
        <v>51.35</v>
      </c>
      <c r="O159" s="5">
        <v>41.01</v>
      </c>
      <c r="P159" s="5">
        <v>0.54</v>
      </c>
      <c r="Q159" s="5">
        <v>0.09</v>
      </c>
      <c r="R159" s="5">
        <v>0.45</v>
      </c>
      <c r="S159" s="8">
        <v>0.79863680623174294</v>
      </c>
      <c r="T159" s="5" t="s">
        <v>44</v>
      </c>
      <c r="U159" s="5"/>
      <c r="V159" s="5"/>
      <c r="W159" s="5"/>
      <c r="X159" s="5"/>
      <c r="Y159" s="5" t="s">
        <v>44</v>
      </c>
      <c r="Z159" s="5"/>
      <c r="AA159" s="5"/>
      <c r="AB159" s="9" t="s">
        <v>44</v>
      </c>
      <c r="AC159" s="2" t="s">
        <v>47</v>
      </c>
      <c r="AD159" s="2">
        <v>0</v>
      </c>
      <c r="AE159" s="2" t="s">
        <v>49</v>
      </c>
      <c r="AF159" s="2" t="str">
        <f t="shared" si="2"/>
        <v>Abnormal</v>
      </c>
      <c r="AG159" s="5">
        <v>1</v>
      </c>
      <c r="AH159" s="5" t="str">
        <f>IF(AG159=0,"Normal",
IF(AND(T159="Yes",S159&gt;=2),"ALD",
IF(AND(T159="Yes",S159&gt;=2,O159&gt;N159),"ALD",
IF(AND(T159="No",S159&gt;=2),"ALD",
IF(AND(G159&gt;=25,OR(T159="No",AND(T159="Yes",S159&lt;1))),"NAFLD",
IF(AND(N159&gt;O159,N159&gt;40,S159&lt;1),"NAFLD",
IF(AND(T159="Yes",S159&lt;1,G159&gt;=25,N159&gt;O159),"NAFLD",
IF(OR(P159&gt;1.2,Q159&gt;0.3),"Hyperbilirubinemia",
"Others"))))))))</f>
        <v>NAFLD</v>
      </c>
      <c r="AI159" s="5" t="str">
        <f>IF(AG159=0,"Normal",
IF(AND(T159="Yes",S159&gt;=2),"ALD (Confirmed)",
IF(AND(T159="Yes",S159&gt;=2,O159&gt;N159),"ALD (Confirmed)",
IF(AND(T159="No",S159&gt;=2),"ALD (Probable)",
IF(AND(G159&gt;=25,OR(T159="No",AND(T159="Yes",S159&lt;1))),"NAFLD",
IF(AND(N159&gt;O159,N159&gt;40,S159&lt;1),"NAFLD",
IF(AND(T159="Yes",S159&lt;1,G159&gt;=25,N159&gt;O159),"NAFLD",
IF(OR(P159&gt;1.2,Q159&gt;0.3),"Hyperbilirubinemia",
"Others"))))))))</f>
        <v>NAFLD</v>
      </c>
      <c r="AJ159" s="5">
        <v>16</v>
      </c>
      <c r="AK159" s="5" t="s">
        <v>34</v>
      </c>
    </row>
    <row r="160" spans="1:37" ht="43.2" x14ac:dyDescent="0.3">
      <c r="A160" s="5">
        <v>165</v>
      </c>
      <c r="B160" s="5" t="s">
        <v>39</v>
      </c>
      <c r="C160" s="5">
        <v>40</v>
      </c>
      <c r="D160" s="2">
        <v>17</v>
      </c>
      <c r="E160" s="5">
        <v>173</v>
      </c>
      <c r="F160" s="5">
        <v>66</v>
      </c>
      <c r="G160" s="6">
        <v>22.052190183434128</v>
      </c>
      <c r="H160" s="9" t="s">
        <v>33</v>
      </c>
      <c r="I160" s="2">
        <v>36</v>
      </c>
      <c r="J160" s="5" t="s">
        <v>44</v>
      </c>
      <c r="K160" s="5" t="s">
        <v>44</v>
      </c>
      <c r="L160" s="5" t="s">
        <v>44</v>
      </c>
      <c r="M160" s="5" t="s">
        <v>44</v>
      </c>
      <c r="N160" s="5">
        <v>63.5</v>
      </c>
      <c r="O160" s="5">
        <v>35.200000000000003</v>
      </c>
      <c r="P160" s="5">
        <v>0.91</v>
      </c>
      <c r="Q160" s="5">
        <v>0.22</v>
      </c>
      <c r="R160" s="5">
        <v>0.69</v>
      </c>
      <c r="S160" s="8">
        <v>0.55433070866141732</v>
      </c>
      <c r="T160" s="5" t="s">
        <v>44</v>
      </c>
      <c r="U160" s="5"/>
      <c r="V160" s="5"/>
      <c r="W160" s="5"/>
      <c r="X160" s="5"/>
      <c r="Y160" s="5" t="s">
        <v>45</v>
      </c>
      <c r="Z160" s="5"/>
      <c r="AA160" s="5" t="s">
        <v>81</v>
      </c>
      <c r="AB160" s="9" t="s">
        <v>44</v>
      </c>
      <c r="AC160" s="2" t="s">
        <v>46</v>
      </c>
      <c r="AD160" s="2">
        <v>0</v>
      </c>
      <c r="AE160" s="2" t="s">
        <v>49</v>
      </c>
      <c r="AF160" s="2" t="str">
        <f t="shared" si="2"/>
        <v>Abnormal</v>
      </c>
      <c r="AG160" s="5">
        <v>1</v>
      </c>
      <c r="AH160" s="5" t="str">
        <f>IF(AG160=0,"Normal",
IF(AND(T160="Yes",S160&gt;=2),"ALD",
IF(AND(T160="Yes",S160&gt;=2,O160&gt;N160),"ALD",
IF(AND(T160="No",S160&gt;=2),"ALD",
IF(AND(G160&gt;=25,OR(T160="No",AND(T160="Yes",S160&lt;1))),"NAFLD",
IF(AND(N160&gt;O160,N160&gt;40,S160&lt;1),"NAFLD",
IF(AND(T160="Yes",S160&lt;1,G160&gt;=25,N160&gt;O160),"NAFLD",
IF(OR(P160&gt;1.2,Q160&gt;0.3),"Hyperbilirubinemia",
"Others"))))))))</f>
        <v>NAFLD</v>
      </c>
      <c r="AI160" s="5" t="str">
        <f>IF(AG160=0,"Normal",
IF(AND(T160="Yes",S160&gt;=2),"ALD (Confirmed)",
IF(AND(T160="Yes",S160&gt;=2,O160&gt;N160),"ALD (Confirmed)",
IF(AND(T160="No",S160&gt;=2),"ALD (Probable)",
IF(AND(G160&gt;=25,OR(T160="No",AND(T160="Yes",S160&lt;1))),"NAFLD",
IF(AND(N160&gt;O160,N160&gt;40,S160&lt;1),"NAFLD",
IF(AND(T160="Yes",S160&lt;1,G160&gt;=25,N160&gt;O160),"NAFLD",
IF(OR(P160&gt;1.2,Q160&gt;0.3),"Hyperbilirubinemia",
"Others"))))))))</f>
        <v>NAFLD</v>
      </c>
      <c r="AJ160" s="5">
        <v>17</v>
      </c>
      <c r="AK160" s="5" t="s">
        <v>34</v>
      </c>
    </row>
    <row r="161" spans="1:37" ht="86.4" x14ac:dyDescent="0.3">
      <c r="A161" s="5">
        <v>166</v>
      </c>
      <c r="B161" s="5" t="s">
        <v>39</v>
      </c>
      <c r="C161" s="5">
        <v>40</v>
      </c>
      <c r="D161" s="2">
        <v>18</v>
      </c>
      <c r="E161" s="5">
        <v>170</v>
      </c>
      <c r="F161" s="5">
        <v>73</v>
      </c>
      <c r="G161" s="6">
        <v>25.259515570934255</v>
      </c>
      <c r="H161" s="9" t="s">
        <v>42</v>
      </c>
      <c r="I161" s="2">
        <v>32</v>
      </c>
      <c r="J161" s="5" t="s">
        <v>44</v>
      </c>
      <c r="K161" s="5" t="s">
        <v>44</v>
      </c>
      <c r="L161" s="5" t="s">
        <v>44</v>
      </c>
      <c r="M161" s="5" t="s">
        <v>44</v>
      </c>
      <c r="N161" s="5">
        <v>18.100000000000001</v>
      </c>
      <c r="O161" s="5">
        <v>25.45</v>
      </c>
      <c r="P161" s="5">
        <v>0.41</v>
      </c>
      <c r="Q161" s="5">
        <v>0.08</v>
      </c>
      <c r="R161" s="5">
        <v>0.33</v>
      </c>
      <c r="S161" s="8">
        <v>1.4060773480662982</v>
      </c>
      <c r="T161" s="5" t="s">
        <v>45</v>
      </c>
      <c r="U161" s="5" t="s">
        <v>57</v>
      </c>
      <c r="V161" s="5" t="s">
        <v>60</v>
      </c>
      <c r="W161" s="5" t="s">
        <v>65</v>
      </c>
      <c r="X161" s="5" t="s">
        <v>69</v>
      </c>
      <c r="Y161" s="5" t="s">
        <v>44</v>
      </c>
      <c r="Z161" s="5"/>
      <c r="AA161" s="5"/>
      <c r="AB161" s="9" t="s">
        <v>44</v>
      </c>
      <c r="AC161" s="2" t="s">
        <v>46</v>
      </c>
      <c r="AD161" s="2">
        <v>0</v>
      </c>
      <c r="AE161" s="2" t="s">
        <v>52</v>
      </c>
      <c r="AF161" s="2" t="str">
        <f t="shared" si="2"/>
        <v>Normal</v>
      </c>
      <c r="AG161" s="5">
        <v>0</v>
      </c>
      <c r="AH161" s="5" t="str">
        <f>IF(AG161=0,"Normal",
IF(AND(T161="Yes",S161&gt;=2),"ALD",
IF(AND(T161="Yes",S161&gt;=2,O161&gt;N161),"ALD",
IF(AND(T161="No",S161&gt;=2),"ALD",
IF(AND(G161&gt;=25,OR(T161="No",AND(T161="Yes",S161&lt;1))),"NAFLD",
IF(AND(N161&gt;O161,N161&gt;40,S161&lt;1),"NAFLD",
IF(AND(T161="Yes",S161&lt;1,G161&gt;=25,N161&gt;O161),"NAFLD",
IF(OR(P161&gt;1.2,Q161&gt;0.3),"Hyperbilirubinemia",
"Others"))))))))</f>
        <v>Normal</v>
      </c>
      <c r="AI161" s="5" t="str">
        <f>IF(AG161=0,"Normal",
IF(AND(T161="Yes",S161&gt;=2),"ALD (Confirmed)",
IF(AND(T161="Yes",S161&gt;=2,O161&gt;N161),"ALD (Confirmed)",
IF(AND(T161="No",S161&gt;=2),"ALD (Probable)",
IF(AND(G161&gt;=25,OR(T161="No",AND(T161="Yes",S161&lt;1))),"NAFLD",
IF(AND(N161&gt;O161,N161&gt;40,S161&lt;1),"NAFLD",
IF(AND(T161="Yes",S161&lt;1,G161&gt;=25,N161&gt;O161),"NAFLD",
IF(OR(P161&gt;1.2,Q161&gt;0.3),"Hyperbilirubinemia",
"Others"))))))))</f>
        <v>Normal</v>
      </c>
      <c r="AJ161" s="5">
        <v>24</v>
      </c>
      <c r="AK161" s="5" t="s">
        <v>35</v>
      </c>
    </row>
    <row r="162" spans="1:37" ht="43.2" x14ac:dyDescent="0.3">
      <c r="A162" s="5">
        <v>167</v>
      </c>
      <c r="B162" s="5" t="s">
        <v>39</v>
      </c>
      <c r="C162" s="5">
        <v>39</v>
      </c>
      <c r="D162" s="2">
        <v>23</v>
      </c>
      <c r="E162" s="5">
        <v>160</v>
      </c>
      <c r="F162" s="5">
        <v>72</v>
      </c>
      <c r="G162" s="6">
        <v>28.125</v>
      </c>
      <c r="H162" s="9" t="s">
        <v>42</v>
      </c>
      <c r="I162" s="2">
        <v>36</v>
      </c>
      <c r="J162" s="5" t="s">
        <v>44</v>
      </c>
      <c r="K162" s="5" t="s">
        <v>44</v>
      </c>
      <c r="L162" s="5" t="s">
        <v>44</v>
      </c>
      <c r="M162" s="5" t="s">
        <v>45</v>
      </c>
      <c r="N162" s="5">
        <v>20</v>
      </c>
      <c r="O162" s="5">
        <v>36.200000000000003</v>
      </c>
      <c r="P162" s="5">
        <v>0.66</v>
      </c>
      <c r="Q162" s="5">
        <v>0.22</v>
      </c>
      <c r="R162" s="5">
        <v>0.44</v>
      </c>
      <c r="S162" s="8">
        <v>1.81</v>
      </c>
      <c r="T162" s="5" t="s">
        <v>44</v>
      </c>
      <c r="U162" s="5"/>
      <c r="V162" s="5"/>
      <c r="W162" s="5"/>
      <c r="X162" s="5"/>
      <c r="Y162" s="5" t="s">
        <v>44</v>
      </c>
      <c r="Z162" s="5"/>
      <c r="AA162" s="5"/>
      <c r="AB162" s="9" t="s">
        <v>44</v>
      </c>
      <c r="AC162" s="2" t="s">
        <v>46</v>
      </c>
      <c r="AD162" s="2">
        <v>0</v>
      </c>
      <c r="AE162" s="2" t="s">
        <v>48</v>
      </c>
      <c r="AF162" s="2" t="str">
        <f t="shared" si="2"/>
        <v>Normal</v>
      </c>
      <c r="AG162" s="5">
        <v>0</v>
      </c>
      <c r="AH162" s="5" t="str">
        <f>IF(AG162=0,"Normal",
IF(AND(T162="Yes",S162&gt;=2),"ALD",
IF(AND(T162="Yes",S162&gt;=2,O162&gt;N162),"ALD",
IF(AND(T162="No",S162&gt;=2),"ALD",
IF(AND(G162&gt;=25,OR(T162="No",AND(T162="Yes",S162&lt;1))),"NAFLD",
IF(AND(N162&gt;O162,N162&gt;40,S162&lt;1),"NAFLD",
IF(AND(T162="Yes",S162&lt;1,G162&gt;=25,N162&gt;O162),"NAFLD",
IF(OR(P162&gt;1.2,Q162&gt;0.3),"Hyperbilirubinemia",
"Others"))))))))</f>
        <v>Normal</v>
      </c>
      <c r="AI162" s="5" t="str">
        <f>IF(AG162=0,"Normal",
IF(AND(T162="Yes",S162&gt;=2),"ALD (Confirmed)",
IF(AND(T162="Yes",S162&gt;=2,O162&gt;N162),"ALD (Confirmed)",
IF(AND(T162="No",S162&gt;=2),"ALD (Probable)",
IF(AND(G162&gt;=25,OR(T162="No",AND(T162="Yes",S162&lt;1))),"NAFLD",
IF(AND(N162&gt;O162,N162&gt;40,S162&lt;1),"NAFLD",
IF(AND(T162="Yes",S162&lt;1,G162&gt;=25,N162&gt;O162),"NAFLD",
IF(OR(P162&gt;1.2,Q162&gt;0.3),"Hyperbilirubinemia",
"Others"))))))))</f>
        <v>Normal</v>
      </c>
      <c r="AJ162" s="5">
        <v>15</v>
      </c>
      <c r="AK162" s="5" t="s">
        <v>34</v>
      </c>
    </row>
    <row r="163" spans="1:37" ht="43.2" x14ac:dyDescent="0.3">
      <c r="A163" s="5">
        <v>168</v>
      </c>
      <c r="B163" s="5" t="s">
        <v>39</v>
      </c>
      <c r="C163" s="5">
        <v>36</v>
      </c>
      <c r="D163" s="2">
        <v>8</v>
      </c>
      <c r="E163" s="5">
        <v>163</v>
      </c>
      <c r="F163" s="5">
        <v>64</v>
      </c>
      <c r="G163" s="6">
        <v>24.088223117166621</v>
      </c>
      <c r="H163" s="9" t="s">
        <v>33</v>
      </c>
      <c r="I163" s="2">
        <v>32</v>
      </c>
      <c r="J163" s="5" t="s">
        <v>44</v>
      </c>
      <c r="K163" s="5" t="s">
        <v>44</v>
      </c>
      <c r="L163" s="5" t="s">
        <v>44</v>
      </c>
      <c r="M163" s="5" t="s">
        <v>45</v>
      </c>
      <c r="N163" s="5">
        <v>40.6</v>
      </c>
      <c r="O163" s="5">
        <v>36.200000000000003</v>
      </c>
      <c r="P163" s="5">
        <v>0.35</v>
      </c>
      <c r="Q163" s="5">
        <v>0.09</v>
      </c>
      <c r="R163" s="5">
        <v>0.26</v>
      </c>
      <c r="S163" s="8">
        <v>0.89162561576354682</v>
      </c>
      <c r="T163" s="5" t="s">
        <v>44</v>
      </c>
      <c r="U163" s="5"/>
      <c r="V163" s="5"/>
      <c r="W163" s="5"/>
      <c r="X163" s="5"/>
      <c r="Y163" s="5" t="s">
        <v>44</v>
      </c>
      <c r="Z163" s="5"/>
      <c r="AA163" s="5"/>
      <c r="AB163" s="9" t="s">
        <v>44</v>
      </c>
      <c r="AC163" s="2" t="s">
        <v>46</v>
      </c>
      <c r="AD163" s="2">
        <v>0</v>
      </c>
      <c r="AE163" s="2" t="s">
        <v>52</v>
      </c>
      <c r="AF163" s="2" t="str">
        <f t="shared" si="2"/>
        <v>Normal</v>
      </c>
      <c r="AG163" s="5">
        <v>0</v>
      </c>
      <c r="AH163" s="5" t="str">
        <f>IF(AG163=0,"Normal",
IF(AND(T163="Yes",S163&gt;=2),"ALD",
IF(AND(T163="Yes",S163&gt;=2,O163&gt;N163),"ALD",
IF(AND(T163="No",S163&gt;=2),"ALD",
IF(AND(G163&gt;=25,OR(T163="No",AND(T163="Yes",S163&lt;1))),"NAFLD",
IF(AND(N163&gt;O163,N163&gt;40,S163&lt;1),"NAFLD",
IF(AND(T163="Yes",S163&lt;1,G163&gt;=25,N163&gt;O163),"NAFLD",
IF(OR(P163&gt;1.2,Q163&gt;0.3),"Hyperbilirubinemia",
"Others"))))))))</f>
        <v>Normal</v>
      </c>
      <c r="AI163" s="5" t="str">
        <f>IF(AG163=0,"Normal",
IF(AND(T163="Yes",S163&gt;=2),"ALD (Confirmed)",
IF(AND(T163="Yes",S163&gt;=2,O163&gt;N163),"ALD (Confirmed)",
IF(AND(T163="No",S163&gt;=2),"ALD (Probable)",
IF(AND(G163&gt;=25,OR(T163="No",AND(T163="Yes",S163&lt;1))),"NAFLD",
IF(AND(N163&gt;O163,N163&gt;40,S163&lt;1),"NAFLD",
IF(AND(T163="Yes",S163&lt;1,G163&gt;=25,N163&gt;O163),"NAFLD",
IF(OR(P163&gt;1.2,Q163&gt;0.3),"Hyperbilirubinemia",
"Others"))))))))</f>
        <v>Normal</v>
      </c>
      <c r="AJ163" s="5">
        <v>11</v>
      </c>
      <c r="AK163" s="5" t="s">
        <v>34</v>
      </c>
    </row>
    <row r="164" spans="1:37" ht="28.8" x14ac:dyDescent="0.3">
      <c r="A164" s="5">
        <v>169</v>
      </c>
      <c r="B164" s="5" t="s">
        <v>39</v>
      </c>
      <c r="C164" s="5">
        <v>30</v>
      </c>
      <c r="D164" s="2">
        <v>4</v>
      </c>
      <c r="E164" s="5">
        <v>170</v>
      </c>
      <c r="F164" s="5">
        <v>62</v>
      </c>
      <c r="G164" s="6">
        <v>21.453287197231834</v>
      </c>
      <c r="H164" s="9" t="s">
        <v>33</v>
      </c>
      <c r="I164" s="2">
        <v>32</v>
      </c>
      <c r="J164" s="5" t="s">
        <v>44</v>
      </c>
      <c r="K164" s="5" t="s">
        <v>44</v>
      </c>
      <c r="L164" s="5" t="s">
        <v>44</v>
      </c>
      <c r="M164" s="5" t="s">
        <v>44</v>
      </c>
      <c r="N164" s="5">
        <v>22.4</v>
      </c>
      <c r="O164" s="5">
        <v>36</v>
      </c>
      <c r="P164" s="5">
        <v>1.22</v>
      </c>
      <c r="Q164" s="5">
        <v>0.32</v>
      </c>
      <c r="R164" s="5">
        <v>0.9</v>
      </c>
      <c r="S164" s="8">
        <v>1.6071428571428572</v>
      </c>
      <c r="T164" s="5" t="s">
        <v>44</v>
      </c>
      <c r="U164" s="5"/>
      <c r="V164" s="5"/>
      <c r="W164" s="5"/>
      <c r="X164" s="5"/>
      <c r="Y164" s="5" t="s">
        <v>44</v>
      </c>
      <c r="Z164" s="5"/>
      <c r="AA164" s="5"/>
      <c r="AB164" s="9" t="s">
        <v>44</v>
      </c>
      <c r="AC164" s="2" t="s">
        <v>47</v>
      </c>
      <c r="AD164" s="2">
        <v>0</v>
      </c>
      <c r="AE164" s="2" t="s">
        <v>48</v>
      </c>
      <c r="AF164" s="2" t="str">
        <f t="shared" si="2"/>
        <v>Abnormal</v>
      </c>
      <c r="AG164" s="5">
        <v>1</v>
      </c>
      <c r="AH164" s="5" t="str">
        <f>IF(AG164=0,"Normal",
IF(AND(T164="Yes",S164&gt;=2),"ALD",
IF(AND(T164="Yes",S164&gt;=2,O164&gt;N164),"ALD",
IF(AND(T164="No",S164&gt;=2),"ALD",
IF(AND(G164&gt;=25,OR(T164="No",AND(T164="Yes",S164&lt;1))),"NAFLD",
IF(AND(N164&gt;O164,N164&gt;40,S164&lt;1),"NAFLD",
IF(AND(T164="Yes",S164&lt;1,G164&gt;=25,N164&gt;O164),"NAFLD",
IF(OR(P164&gt;1.2,Q164&gt;0.3),"Hyperbilirubinemia",
"Others"))))))))</f>
        <v>Hyperbilirubinemia</v>
      </c>
      <c r="AI164" s="5" t="str">
        <f>IF(AG164=0,"Normal",
IF(AND(T164="Yes",S164&gt;=2),"ALD (Confirmed)",
IF(AND(T164="Yes",S164&gt;=2,O164&gt;N164),"ALD (Confirmed)",
IF(AND(T164="No",S164&gt;=2),"ALD (Probable)",
IF(AND(G164&gt;=25,OR(T164="No",AND(T164="Yes",S164&lt;1))),"NAFLD",
IF(AND(N164&gt;O164,N164&gt;40,S164&lt;1),"NAFLD",
IF(AND(T164="Yes",S164&lt;1,G164&gt;=25,N164&gt;O164),"NAFLD",
IF(OR(P164&gt;1.2,Q164&gt;0.3),"Hyperbilirubinemia",
"Others"))))))))</f>
        <v>Hyperbilirubinemia</v>
      </c>
      <c r="AJ164" s="5">
        <v>5</v>
      </c>
      <c r="AK164" s="5" t="s">
        <v>34</v>
      </c>
    </row>
    <row r="165" spans="1:37" ht="43.2" x14ac:dyDescent="0.3">
      <c r="A165" s="5">
        <v>170</v>
      </c>
      <c r="B165" s="5" t="s">
        <v>39</v>
      </c>
      <c r="C165" s="5">
        <v>27</v>
      </c>
      <c r="D165" s="2">
        <v>4</v>
      </c>
      <c r="E165" s="5">
        <v>165</v>
      </c>
      <c r="F165" s="5">
        <v>61</v>
      </c>
      <c r="G165" s="6">
        <v>22.4058769513315</v>
      </c>
      <c r="H165" s="9" t="s">
        <v>33</v>
      </c>
      <c r="I165" s="2">
        <v>30</v>
      </c>
      <c r="J165" s="5" t="s">
        <v>44</v>
      </c>
      <c r="K165" s="5" t="s">
        <v>44</v>
      </c>
      <c r="L165" s="5" t="s">
        <v>44</v>
      </c>
      <c r="M165" s="5" t="s">
        <v>44</v>
      </c>
      <c r="N165" s="5">
        <v>36</v>
      </c>
      <c r="O165" s="5">
        <v>35.6</v>
      </c>
      <c r="P165" s="5">
        <v>1.01</v>
      </c>
      <c r="Q165" s="5">
        <v>0.1</v>
      </c>
      <c r="R165" s="5">
        <v>0.91</v>
      </c>
      <c r="S165" s="8">
        <v>0.98888888888888893</v>
      </c>
      <c r="T165" s="5" t="s">
        <v>45</v>
      </c>
      <c r="U165" s="5" t="s">
        <v>56</v>
      </c>
      <c r="V165" s="5" t="s">
        <v>61</v>
      </c>
      <c r="W165" s="5" t="s">
        <v>65</v>
      </c>
      <c r="X165" s="5" t="s">
        <v>67</v>
      </c>
      <c r="Y165" s="5" t="s">
        <v>44</v>
      </c>
      <c r="Z165" s="5"/>
      <c r="AA165" s="5"/>
      <c r="AB165" s="9" t="s">
        <v>44</v>
      </c>
      <c r="AC165" s="2" t="s">
        <v>46</v>
      </c>
      <c r="AD165" s="2">
        <v>0</v>
      </c>
      <c r="AE165" s="2" t="s">
        <v>52</v>
      </c>
      <c r="AF165" s="2" t="str">
        <f t="shared" si="2"/>
        <v>Normal</v>
      </c>
      <c r="AG165" s="5">
        <v>0</v>
      </c>
      <c r="AH165" s="5" t="str">
        <f>IF(AG165=0,"Normal",
IF(AND(T165="Yes",S165&gt;=2),"ALD",
IF(AND(T165="Yes",S165&gt;=2,O165&gt;N165),"ALD",
IF(AND(T165="No",S165&gt;=2),"ALD",
IF(AND(G165&gt;=25,OR(T165="No",AND(T165="Yes",S165&lt;1))),"NAFLD",
IF(AND(N165&gt;O165,N165&gt;40,S165&lt;1),"NAFLD",
IF(AND(T165="Yes",S165&lt;1,G165&gt;=25,N165&gt;O165),"NAFLD",
IF(OR(P165&gt;1.2,Q165&gt;0.3),"Hyperbilirubinemia",
"Others"))))))))</f>
        <v>Normal</v>
      </c>
      <c r="AI165" s="5" t="str">
        <f>IF(AG165=0,"Normal",
IF(AND(T165="Yes",S165&gt;=2),"ALD (Confirmed)",
IF(AND(T165="Yes",S165&gt;=2,O165&gt;N165),"ALD (Confirmed)",
IF(AND(T165="No",S165&gt;=2),"ALD (Probable)",
IF(AND(G165&gt;=25,OR(T165="No",AND(T165="Yes",S165&lt;1))),"NAFLD",
IF(AND(N165&gt;O165,N165&gt;40,S165&lt;1),"NAFLD",
IF(AND(T165="Yes",S165&lt;1,G165&gt;=25,N165&gt;O165),"NAFLD",
IF(OR(P165&gt;1.2,Q165&gt;0.3),"Hyperbilirubinemia",
"Others"))))))))</f>
        <v>Normal</v>
      </c>
      <c r="AJ165" s="5">
        <v>14</v>
      </c>
      <c r="AK165" s="5" t="s">
        <v>34</v>
      </c>
    </row>
    <row r="166" spans="1:37" ht="43.2" x14ac:dyDescent="0.3">
      <c r="A166" s="5">
        <v>171</v>
      </c>
      <c r="B166" s="5" t="s">
        <v>39</v>
      </c>
      <c r="C166" s="5">
        <v>41</v>
      </c>
      <c r="D166" s="2">
        <v>20</v>
      </c>
      <c r="E166" s="5">
        <v>185</v>
      </c>
      <c r="F166" s="5">
        <v>96</v>
      </c>
      <c r="G166" s="6">
        <v>28.049671292914535</v>
      </c>
      <c r="H166" s="9" t="s">
        <v>42</v>
      </c>
      <c r="I166" s="2">
        <v>38</v>
      </c>
      <c r="J166" s="5" t="s">
        <v>44</v>
      </c>
      <c r="K166" s="5" t="s">
        <v>44</v>
      </c>
      <c r="L166" s="5" t="s">
        <v>44</v>
      </c>
      <c r="M166" s="5" t="s">
        <v>45</v>
      </c>
      <c r="N166" s="5">
        <v>36</v>
      </c>
      <c r="O166" s="5">
        <v>40.04</v>
      </c>
      <c r="P166" s="5">
        <v>0.42</v>
      </c>
      <c r="Q166" s="5">
        <v>0.1</v>
      </c>
      <c r="R166" s="5">
        <v>0.32</v>
      </c>
      <c r="S166" s="8">
        <v>1.1122222222222222</v>
      </c>
      <c r="T166" s="5" t="s">
        <v>44</v>
      </c>
      <c r="U166" s="5"/>
      <c r="V166" s="5"/>
      <c r="W166" s="5"/>
      <c r="X166" s="5"/>
      <c r="Y166" s="5" t="s">
        <v>44</v>
      </c>
      <c r="Z166" s="5"/>
      <c r="AA166" s="5"/>
      <c r="AB166" s="9" t="s">
        <v>44</v>
      </c>
      <c r="AC166" s="2" t="s">
        <v>46</v>
      </c>
      <c r="AD166" s="2">
        <v>0</v>
      </c>
      <c r="AE166" s="2" t="s">
        <v>52</v>
      </c>
      <c r="AF166" s="2" t="str">
        <f t="shared" si="2"/>
        <v>Abnormal</v>
      </c>
      <c r="AG166" s="5">
        <v>1</v>
      </c>
      <c r="AH166" s="5" t="str">
        <f>IF(AG166=0,"Normal",
IF(AND(T166="Yes",S166&gt;=2),"ALD",
IF(AND(T166="Yes",S166&gt;=2,O166&gt;N166),"ALD",
IF(AND(T166="No",S166&gt;=2),"ALD",
IF(AND(G166&gt;=25,OR(T166="No",AND(T166="Yes",S166&lt;1))),"NAFLD",
IF(AND(N166&gt;O166,N166&gt;40,S166&lt;1),"NAFLD",
IF(AND(T166="Yes",S166&lt;1,G166&gt;=25,N166&gt;O166),"NAFLD",
IF(OR(P166&gt;1.2,Q166&gt;0.3),"Hyperbilirubinemia",
"Others"))))))))</f>
        <v>NAFLD</v>
      </c>
      <c r="AI166" s="5" t="str">
        <f>IF(AG166=0,"Normal",
IF(AND(T166="Yes",S166&gt;=2),"ALD (Confirmed)",
IF(AND(T166="Yes",S166&gt;=2,O166&gt;N166),"ALD (Confirmed)",
IF(AND(T166="No",S166&gt;=2),"ALD (Probable)",
IF(AND(G166&gt;=25,OR(T166="No",AND(T166="Yes",S166&lt;1))),"NAFLD",
IF(AND(N166&gt;O166,N166&gt;40,S166&lt;1),"NAFLD",
IF(AND(T166="Yes",S166&lt;1,G166&gt;=25,N166&gt;O166),"NAFLD",
IF(OR(P166&gt;1.2,Q166&gt;0.3),"Hyperbilirubinemia",
"Others"))))))))</f>
        <v>NAFLD</v>
      </c>
      <c r="AJ166" s="5">
        <v>21</v>
      </c>
      <c r="AK166" s="5" t="s">
        <v>35</v>
      </c>
    </row>
    <row r="167" spans="1:37" ht="43.2" x14ac:dyDescent="0.3">
      <c r="A167" s="5">
        <v>172</v>
      </c>
      <c r="B167" s="5" t="s">
        <v>39</v>
      </c>
      <c r="C167" s="5">
        <v>35</v>
      </c>
      <c r="D167" s="2">
        <v>14</v>
      </c>
      <c r="E167" s="5">
        <v>165</v>
      </c>
      <c r="F167" s="5">
        <v>65</v>
      </c>
      <c r="G167" s="6">
        <v>23.875114784205692</v>
      </c>
      <c r="H167" s="9" t="s">
        <v>33</v>
      </c>
      <c r="I167" s="2">
        <v>32</v>
      </c>
      <c r="J167" s="5" t="s">
        <v>44</v>
      </c>
      <c r="K167" s="5" t="s">
        <v>44</v>
      </c>
      <c r="L167" s="5" t="s">
        <v>44</v>
      </c>
      <c r="M167" s="5" t="s">
        <v>44</v>
      </c>
      <c r="N167" s="5">
        <v>31.91</v>
      </c>
      <c r="O167" s="5">
        <v>37.47</v>
      </c>
      <c r="P167" s="5">
        <v>0.7</v>
      </c>
      <c r="Q167" s="5">
        <v>0.14000000000000001</v>
      </c>
      <c r="R167" s="5">
        <v>0.56000000000000005</v>
      </c>
      <c r="S167" s="8">
        <v>1.1742400501410215</v>
      </c>
      <c r="T167" s="5" t="s">
        <v>45</v>
      </c>
      <c r="U167" s="5" t="s">
        <v>56</v>
      </c>
      <c r="V167" s="5" t="s">
        <v>60</v>
      </c>
      <c r="W167" s="5" t="s">
        <v>65</v>
      </c>
      <c r="X167" s="5" t="s">
        <v>67</v>
      </c>
      <c r="Y167" s="5" t="s">
        <v>44</v>
      </c>
      <c r="Z167" s="5"/>
      <c r="AA167" s="5"/>
      <c r="AB167" s="9" t="s">
        <v>44</v>
      </c>
      <c r="AC167" s="2" t="s">
        <v>46</v>
      </c>
      <c r="AD167" s="2">
        <v>0</v>
      </c>
      <c r="AE167" s="2" t="s">
        <v>49</v>
      </c>
      <c r="AF167" s="2" t="str">
        <f t="shared" si="2"/>
        <v>Normal</v>
      </c>
      <c r="AG167" s="5">
        <v>0</v>
      </c>
      <c r="AH167" s="5" t="str">
        <f>IF(AG167=0,"Normal",
IF(AND(T167="Yes",S167&gt;=2),"ALD",
IF(AND(T167="Yes",S167&gt;=2,O167&gt;N167),"ALD",
IF(AND(T167="No",S167&gt;=2),"ALD",
IF(AND(G167&gt;=25,OR(T167="No",AND(T167="Yes",S167&lt;1))),"NAFLD",
IF(AND(N167&gt;O167,N167&gt;40,S167&lt;1),"NAFLD",
IF(AND(T167="Yes",S167&lt;1,G167&gt;=25,N167&gt;O167),"NAFLD",
IF(OR(P167&gt;1.2,Q167&gt;0.3),"Hyperbilirubinemia",
"Others"))))))))</f>
        <v>Normal</v>
      </c>
      <c r="AI167" s="5" t="str">
        <f>IF(AG167=0,"Normal",
IF(AND(T167="Yes",S167&gt;=2),"ALD (Confirmed)",
IF(AND(T167="Yes",S167&gt;=2,O167&gt;N167),"ALD (Confirmed)",
IF(AND(T167="No",S167&gt;=2),"ALD (Probable)",
IF(AND(G167&gt;=25,OR(T167="No",AND(T167="Yes",S167&lt;1))),"NAFLD",
IF(AND(N167&gt;O167,N167&gt;40,S167&lt;1),"NAFLD",
IF(AND(T167="Yes",S167&lt;1,G167&gt;=25,N167&gt;O167),"NAFLD",
IF(OR(P167&gt;1.2,Q167&gt;0.3),"Hyperbilirubinemia",
"Others"))))))))</f>
        <v>Normal</v>
      </c>
      <c r="AJ167" s="5">
        <v>16</v>
      </c>
      <c r="AK167" s="5" t="s">
        <v>34</v>
      </c>
    </row>
    <row r="168" spans="1:37" ht="43.2" x14ac:dyDescent="0.3">
      <c r="A168" s="5">
        <v>173</v>
      </c>
      <c r="B168" s="5" t="s">
        <v>39</v>
      </c>
      <c r="C168" s="5">
        <v>30</v>
      </c>
      <c r="D168" s="2">
        <v>8</v>
      </c>
      <c r="E168" s="5">
        <v>183</v>
      </c>
      <c r="F168" s="5">
        <v>98</v>
      </c>
      <c r="G168" s="6">
        <v>29.263340201260117</v>
      </c>
      <c r="H168" s="9" t="s">
        <v>42</v>
      </c>
      <c r="I168" s="2">
        <v>38</v>
      </c>
      <c r="J168" s="5" t="s">
        <v>44</v>
      </c>
      <c r="K168" s="5" t="s">
        <v>44</v>
      </c>
      <c r="L168" s="5" t="s">
        <v>44</v>
      </c>
      <c r="M168" s="5" t="s">
        <v>44</v>
      </c>
      <c r="N168" s="5">
        <v>17.79</v>
      </c>
      <c r="O168" s="5">
        <v>38.07</v>
      </c>
      <c r="P168" s="5">
        <v>0.77</v>
      </c>
      <c r="Q168" s="5">
        <v>0.11</v>
      </c>
      <c r="R168" s="5">
        <v>0.66</v>
      </c>
      <c r="S168" s="8">
        <v>2.1399662731871838</v>
      </c>
      <c r="T168" s="5" t="s">
        <v>44</v>
      </c>
      <c r="U168" s="5"/>
      <c r="V168" s="5"/>
      <c r="W168" s="5"/>
      <c r="X168" s="5"/>
      <c r="Y168" s="5" t="s">
        <v>44</v>
      </c>
      <c r="Z168" s="5"/>
      <c r="AA168" s="5"/>
      <c r="AB168" s="9" t="s">
        <v>44</v>
      </c>
      <c r="AC168" s="2" t="s">
        <v>46</v>
      </c>
      <c r="AD168" s="2">
        <v>0</v>
      </c>
      <c r="AE168" s="2" t="s">
        <v>52</v>
      </c>
      <c r="AF168" s="2" t="str">
        <f t="shared" si="2"/>
        <v>Normal</v>
      </c>
      <c r="AG168" s="5">
        <v>0</v>
      </c>
      <c r="AH168" s="5" t="str">
        <f>IF(AG168=0,"Normal",
IF(AND(T168="Yes",S168&gt;=2),"ALD",
IF(AND(T168="Yes",S168&gt;=2,O168&gt;N168),"ALD",
IF(AND(T168="No",S168&gt;=2),"ALD",
IF(AND(G168&gt;=25,OR(T168="No",AND(T168="Yes",S168&lt;1))),"NAFLD",
IF(AND(N168&gt;O168,N168&gt;40,S168&lt;1),"NAFLD",
IF(AND(T168="Yes",S168&lt;1,G168&gt;=25,N168&gt;O168),"NAFLD",
IF(OR(P168&gt;1.2,Q168&gt;0.3),"Hyperbilirubinemia",
"Others"))))))))</f>
        <v>Normal</v>
      </c>
      <c r="AI168" s="5" t="str">
        <f>IF(AG168=0,"Normal",
IF(AND(T168="Yes",S168&gt;=2),"ALD (Confirmed)",
IF(AND(T168="Yes",S168&gt;=2,O168&gt;N168),"ALD (Confirmed)",
IF(AND(T168="No",S168&gt;=2),"ALD (Probable)",
IF(AND(G168&gt;=25,OR(T168="No",AND(T168="Yes",S168&lt;1))),"NAFLD",
IF(AND(N168&gt;O168,N168&gt;40,S168&lt;1),"NAFLD",
IF(AND(T168="Yes",S168&lt;1,G168&gt;=25,N168&gt;O168),"NAFLD",
IF(OR(P168&gt;1.2,Q168&gt;0.3),"Hyperbilirubinemia",
"Others"))))))))</f>
        <v>Normal</v>
      </c>
      <c r="AJ168" s="5">
        <v>16</v>
      </c>
      <c r="AK168" s="5" t="s">
        <v>34</v>
      </c>
    </row>
    <row r="169" spans="1:37" ht="28.8" x14ac:dyDescent="0.3">
      <c r="A169" s="5">
        <v>174</v>
      </c>
      <c r="B169" s="5" t="s">
        <v>39</v>
      </c>
      <c r="C169" s="5">
        <v>30</v>
      </c>
      <c r="D169" s="2">
        <v>8</v>
      </c>
      <c r="E169" s="5">
        <v>180</v>
      </c>
      <c r="F169" s="5">
        <v>55</v>
      </c>
      <c r="G169" s="6">
        <v>16.97530864197531</v>
      </c>
      <c r="H169" s="9" t="s">
        <v>43</v>
      </c>
      <c r="I169" s="2">
        <v>30</v>
      </c>
      <c r="J169" s="5" t="s">
        <v>44</v>
      </c>
      <c r="K169" s="5" t="s">
        <v>44</v>
      </c>
      <c r="L169" s="5" t="s">
        <v>44</v>
      </c>
      <c r="M169" s="5" t="s">
        <v>44</v>
      </c>
      <c r="N169" s="5">
        <v>13.24</v>
      </c>
      <c r="O169" s="5">
        <v>29.55</v>
      </c>
      <c r="P169" s="5">
        <v>0.62</v>
      </c>
      <c r="Q169" s="5">
        <v>0.11</v>
      </c>
      <c r="R169" s="5">
        <v>0.51</v>
      </c>
      <c r="S169" s="8">
        <v>2.2318731117824773</v>
      </c>
      <c r="T169" s="5" t="s">
        <v>44</v>
      </c>
      <c r="U169" s="5"/>
      <c r="V169" s="5"/>
      <c r="W169" s="5"/>
      <c r="X169" s="5"/>
      <c r="Y169" s="5" t="s">
        <v>44</v>
      </c>
      <c r="Z169" s="5"/>
      <c r="AA169" s="5"/>
      <c r="AB169" s="9" t="s">
        <v>44</v>
      </c>
      <c r="AC169" s="2" t="s">
        <v>47</v>
      </c>
      <c r="AD169" s="2">
        <v>0</v>
      </c>
      <c r="AE169" s="2" t="s">
        <v>52</v>
      </c>
      <c r="AF169" s="2" t="str">
        <f t="shared" si="2"/>
        <v>Normal</v>
      </c>
      <c r="AG169" s="5">
        <v>0</v>
      </c>
      <c r="AH169" s="5" t="str">
        <f>IF(AG169=0,"Normal",
IF(AND(T169="Yes",S169&gt;=2),"ALD",
IF(AND(T169="Yes",S169&gt;=2,O169&gt;N169),"ALD",
IF(AND(T169="No",S169&gt;=2),"ALD",
IF(AND(G169&gt;=25,OR(T169="No",AND(T169="Yes",S169&lt;1))),"NAFLD",
IF(AND(N169&gt;O169,N169&gt;40,S169&lt;1),"NAFLD",
IF(AND(T169="Yes",S169&lt;1,G169&gt;=25,N169&gt;O169),"NAFLD",
IF(OR(P169&gt;1.2,Q169&gt;0.3),"Hyperbilirubinemia",
"Others"))))))))</f>
        <v>Normal</v>
      </c>
      <c r="AI169" s="5" t="str">
        <f>IF(AG169=0,"Normal",
IF(AND(T169="Yes",S169&gt;=2),"ALD (Confirmed)",
IF(AND(T169="Yes",S169&gt;=2,O169&gt;N169),"ALD (Confirmed)",
IF(AND(T169="No",S169&gt;=2),"ALD (Probable)",
IF(AND(G169&gt;=25,OR(T169="No",AND(T169="Yes",S169&lt;1))),"NAFLD",
IF(AND(N169&gt;O169,N169&gt;40,S169&lt;1),"NAFLD",
IF(AND(T169="Yes",S169&lt;1,G169&gt;=25,N169&gt;O169),"NAFLD",
IF(OR(P169&gt;1.2,Q169&gt;0.3),"Hyperbilirubinemia",
"Others"))))))))</f>
        <v>Normal</v>
      </c>
      <c r="AJ169" s="5">
        <v>4</v>
      </c>
      <c r="AK169" s="5" t="s">
        <v>34</v>
      </c>
    </row>
    <row r="170" spans="1:37" ht="43.2" x14ac:dyDescent="0.3">
      <c r="A170" s="5">
        <v>175</v>
      </c>
      <c r="B170" s="5" t="s">
        <v>39</v>
      </c>
      <c r="C170" s="5">
        <v>30</v>
      </c>
      <c r="D170" s="2">
        <v>13</v>
      </c>
      <c r="E170" s="5">
        <v>175</v>
      </c>
      <c r="F170" s="5">
        <v>78</v>
      </c>
      <c r="G170" s="6">
        <v>25.469387755102041</v>
      </c>
      <c r="H170" s="9" t="s">
        <v>42</v>
      </c>
      <c r="I170" s="2">
        <v>34</v>
      </c>
      <c r="J170" s="5" t="s">
        <v>44</v>
      </c>
      <c r="K170" s="5" t="s">
        <v>44</v>
      </c>
      <c r="L170" s="5" t="s">
        <v>44</v>
      </c>
      <c r="M170" s="5" t="s">
        <v>44</v>
      </c>
      <c r="N170" s="5">
        <v>29.6</v>
      </c>
      <c r="O170" s="5">
        <v>35.200000000000003</v>
      </c>
      <c r="P170" s="5">
        <v>0.62</v>
      </c>
      <c r="Q170" s="5">
        <v>0.16</v>
      </c>
      <c r="R170" s="5">
        <v>0.46</v>
      </c>
      <c r="S170" s="8">
        <v>1.1891891891891893</v>
      </c>
      <c r="T170" s="5" t="s">
        <v>44</v>
      </c>
      <c r="U170" s="5"/>
      <c r="V170" s="5"/>
      <c r="W170" s="5"/>
      <c r="X170" s="5"/>
      <c r="Y170" s="5" t="s">
        <v>44</v>
      </c>
      <c r="Z170" s="5"/>
      <c r="AA170" s="5"/>
      <c r="AB170" s="9" t="s">
        <v>44</v>
      </c>
      <c r="AC170" s="2" t="s">
        <v>46</v>
      </c>
      <c r="AD170" s="2">
        <v>0</v>
      </c>
      <c r="AE170" s="2" t="s">
        <v>48</v>
      </c>
      <c r="AF170" s="2" t="str">
        <f t="shared" si="2"/>
        <v>Normal</v>
      </c>
      <c r="AG170" s="5">
        <v>0</v>
      </c>
      <c r="AH170" s="5" t="str">
        <f>IF(AG170=0,"Normal",
IF(AND(T170="Yes",S170&gt;=2),"ALD",
IF(AND(T170="Yes",S170&gt;=2,O170&gt;N170),"ALD",
IF(AND(T170="No",S170&gt;=2),"ALD",
IF(AND(G170&gt;=25,OR(T170="No",AND(T170="Yes",S170&lt;1))),"NAFLD",
IF(AND(N170&gt;O170,N170&gt;40,S170&lt;1),"NAFLD",
IF(AND(T170="Yes",S170&lt;1,G170&gt;=25,N170&gt;O170),"NAFLD",
IF(OR(P170&gt;1.2,Q170&gt;0.3),"Hyperbilirubinemia",
"Others"))))))))</f>
        <v>Normal</v>
      </c>
      <c r="AI170" s="5" t="str">
        <f>IF(AG170=0,"Normal",
IF(AND(T170="Yes",S170&gt;=2),"ALD (Confirmed)",
IF(AND(T170="Yes",S170&gt;=2,O170&gt;N170),"ALD (Confirmed)",
IF(AND(T170="No",S170&gt;=2),"ALD (Probable)",
IF(AND(G170&gt;=25,OR(T170="No",AND(T170="Yes",S170&lt;1))),"NAFLD",
IF(AND(N170&gt;O170,N170&gt;40,S170&lt;1),"NAFLD",
IF(AND(T170="Yes",S170&lt;1,G170&gt;=25,N170&gt;O170),"NAFLD",
IF(OR(P170&gt;1.2,Q170&gt;0.3),"Hyperbilirubinemia",
"Others"))))))))</f>
        <v>Normal</v>
      </c>
      <c r="AJ170" s="5">
        <v>8</v>
      </c>
      <c r="AK170" s="5" t="s">
        <v>34</v>
      </c>
    </row>
    <row r="171" spans="1:37" ht="43.2" x14ac:dyDescent="0.3">
      <c r="A171" s="5">
        <v>176</v>
      </c>
      <c r="B171" s="5" t="s">
        <v>39</v>
      </c>
      <c r="C171" s="5">
        <v>29</v>
      </c>
      <c r="D171" s="2">
        <v>6</v>
      </c>
      <c r="E171" s="5">
        <v>165</v>
      </c>
      <c r="F171" s="5">
        <v>68</v>
      </c>
      <c r="G171" s="6">
        <v>24.977043158861338</v>
      </c>
      <c r="H171" s="9" t="s">
        <v>42</v>
      </c>
      <c r="I171" s="2">
        <v>32</v>
      </c>
      <c r="J171" s="5" t="s">
        <v>44</v>
      </c>
      <c r="K171" s="5" t="s">
        <v>44</v>
      </c>
      <c r="L171" s="5" t="s">
        <v>44</v>
      </c>
      <c r="M171" s="5" t="s">
        <v>44</v>
      </c>
      <c r="N171" s="5">
        <v>47.7</v>
      </c>
      <c r="O171" s="5">
        <v>38.200000000000003</v>
      </c>
      <c r="P171" s="5">
        <v>0.27</v>
      </c>
      <c r="Q171" s="5">
        <v>0.1</v>
      </c>
      <c r="R171" s="5">
        <v>0.17</v>
      </c>
      <c r="S171" s="8">
        <v>0.80083857442348005</v>
      </c>
      <c r="T171" s="5" t="s">
        <v>44</v>
      </c>
      <c r="U171" s="5"/>
      <c r="V171" s="5"/>
      <c r="W171" s="5"/>
      <c r="X171" s="5"/>
      <c r="Y171" s="5" t="s">
        <v>44</v>
      </c>
      <c r="Z171" s="5"/>
      <c r="AA171" s="5"/>
      <c r="AB171" s="9" t="s">
        <v>44</v>
      </c>
      <c r="AC171" s="2" t="s">
        <v>46</v>
      </c>
      <c r="AD171" s="2">
        <v>0</v>
      </c>
      <c r="AE171" s="2" t="s">
        <v>52</v>
      </c>
      <c r="AF171" s="2" t="str">
        <f t="shared" si="2"/>
        <v>Normal</v>
      </c>
      <c r="AG171" s="5">
        <v>0</v>
      </c>
      <c r="AH171" s="5" t="str">
        <f>IF(AG171=0,"Normal",
IF(AND(T171="Yes",S171&gt;=2),"ALD",
IF(AND(T171="Yes",S171&gt;=2,O171&gt;N171),"ALD",
IF(AND(T171="No",S171&gt;=2),"ALD",
IF(AND(G171&gt;=25,OR(T171="No",AND(T171="Yes",S171&lt;1))),"NAFLD",
IF(AND(N171&gt;O171,N171&gt;40,S171&lt;1),"NAFLD",
IF(AND(T171="Yes",S171&lt;1,G171&gt;=25,N171&gt;O171),"NAFLD",
IF(OR(P171&gt;1.2,Q171&gt;0.3),"Hyperbilirubinemia",
"Others"))))))))</f>
        <v>Normal</v>
      </c>
      <c r="AI171" s="5" t="str">
        <f>IF(AG171=0,"Normal",
IF(AND(T171="Yes",S171&gt;=2),"ALD (Confirmed)",
IF(AND(T171="Yes",S171&gt;=2,O171&gt;N171),"ALD (Confirmed)",
IF(AND(T171="No",S171&gt;=2),"ALD (Probable)",
IF(AND(G171&gt;=25,OR(T171="No",AND(T171="Yes",S171&lt;1))),"NAFLD",
IF(AND(N171&gt;O171,N171&gt;40,S171&lt;1),"NAFLD",
IF(AND(T171="Yes",S171&lt;1,G171&gt;=25,N171&gt;O171),"NAFLD",
IF(OR(P171&gt;1.2,Q171&gt;0.3),"Hyperbilirubinemia",
"Others"))))))))</f>
        <v>Normal</v>
      </c>
      <c r="AJ171" s="5">
        <v>9</v>
      </c>
      <c r="AK171" s="5" t="s">
        <v>34</v>
      </c>
    </row>
    <row r="172" spans="1:37" ht="43.2" x14ac:dyDescent="0.3">
      <c r="A172" s="5">
        <v>177</v>
      </c>
      <c r="B172" s="5" t="s">
        <v>39</v>
      </c>
      <c r="C172" s="5">
        <v>52</v>
      </c>
      <c r="D172" s="2">
        <v>25</v>
      </c>
      <c r="E172" s="5">
        <v>154</v>
      </c>
      <c r="F172" s="5">
        <v>55</v>
      </c>
      <c r="G172" s="6">
        <v>23.19109461966605</v>
      </c>
      <c r="H172" s="9" t="s">
        <v>33</v>
      </c>
      <c r="I172" s="2">
        <v>36</v>
      </c>
      <c r="J172" s="5" t="s">
        <v>44</v>
      </c>
      <c r="K172" s="5" t="s">
        <v>44</v>
      </c>
      <c r="L172" s="5" t="s">
        <v>44</v>
      </c>
      <c r="M172" s="5" t="s">
        <v>44</v>
      </c>
      <c r="N172" s="5">
        <v>20.8</v>
      </c>
      <c r="O172" s="5">
        <v>36.200000000000003</v>
      </c>
      <c r="P172" s="5">
        <v>1.75</v>
      </c>
      <c r="Q172" s="5">
        <v>0.28000000000000003</v>
      </c>
      <c r="R172" s="5">
        <v>1.47</v>
      </c>
      <c r="S172" s="8">
        <v>1.7403846153846154</v>
      </c>
      <c r="T172" s="5" t="s">
        <v>44</v>
      </c>
      <c r="U172" s="5"/>
      <c r="V172" s="5"/>
      <c r="W172" s="5"/>
      <c r="X172" s="5"/>
      <c r="Y172" s="5" t="s">
        <v>44</v>
      </c>
      <c r="Z172" s="5"/>
      <c r="AA172" s="5"/>
      <c r="AB172" s="9" t="s">
        <v>44</v>
      </c>
      <c r="AC172" s="2" t="s">
        <v>46</v>
      </c>
      <c r="AD172" s="2">
        <v>0</v>
      </c>
      <c r="AE172" s="2" t="s">
        <v>48</v>
      </c>
      <c r="AF172" s="2" t="str">
        <f t="shared" si="2"/>
        <v>Abnormal</v>
      </c>
      <c r="AG172" s="5">
        <v>1</v>
      </c>
      <c r="AH172" s="5" t="str">
        <f>IF(AG172=0,"Normal",
IF(AND(T172="Yes",S172&gt;=2),"ALD",
IF(AND(T172="Yes",S172&gt;=2,O172&gt;N172),"ALD",
IF(AND(T172="No",S172&gt;=2),"ALD",
IF(AND(G172&gt;=25,OR(T172="No",AND(T172="Yes",S172&lt;1))),"NAFLD",
IF(AND(N172&gt;O172,N172&gt;40,S172&lt;1),"NAFLD",
IF(AND(T172="Yes",S172&lt;1,G172&gt;=25,N172&gt;O172),"NAFLD",
IF(OR(P172&gt;1.2,Q172&gt;0.3),"Hyperbilirubinemia",
"Others"))))))))</f>
        <v>Hyperbilirubinemia</v>
      </c>
      <c r="AI172" s="5" t="str">
        <f>IF(AG172=0,"Normal",
IF(AND(T172="Yes",S172&gt;=2),"ALD (Confirmed)",
IF(AND(T172="Yes",S172&gt;=2,O172&gt;N172),"ALD (Confirmed)",
IF(AND(T172="No",S172&gt;=2),"ALD (Probable)",
IF(AND(G172&gt;=25,OR(T172="No",AND(T172="Yes",S172&lt;1))),"NAFLD",
IF(AND(N172&gt;O172,N172&gt;40,S172&lt;1),"NAFLD",
IF(AND(T172="Yes",S172&lt;1,G172&gt;=25,N172&gt;O172),"NAFLD",
IF(OR(P172&gt;1.2,Q172&gt;0.3),"Hyperbilirubinemia",
"Others"))))))))</f>
        <v>Hyperbilirubinemia</v>
      </c>
      <c r="AJ172" s="5">
        <v>8</v>
      </c>
      <c r="AK172" s="5" t="s">
        <v>34</v>
      </c>
    </row>
    <row r="173" spans="1:37" ht="28.8" x14ac:dyDescent="0.3">
      <c r="A173" s="5">
        <v>178</v>
      </c>
      <c r="B173" s="5" t="s">
        <v>39</v>
      </c>
      <c r="C173" s="5">
        <v>40</v>
      </c>
      <c r="D173" s="2">
        <v>18</v>
      </c>
      <c r="E173" s="5">
        <v>170</v>
      </c>
      <c r="F173" s="5">
        <v>70</v>
      </c>
      <c r="G173" s="6">
        <v>24.221453287197232</v>
      </c>
      <c r="H173" s="9" t="s">
        <v>33</v>
      </c>
      <c r="I173" s="2">
        <v>32</v>
      </c>
      <c r="J173" s="5" t="s">
        <v>44</v>
      </c>
      <c r="K173" s="5" t="s">
        <v>44</v>
      </c>
      <c r="L173" s="5" t="s">
        <v>44</v>
      </c>
      <c r="M173" s="5" t="s">
        <v>44</v>
      </c>
      <c r="N173" s="5">
        <v>28.4</v>
      </c>
      <c r="O173" s="5">
        <v>35.200000000000003</v>
      </c>
      <c r="P173" s="5">
        <v>1.49</v>
      </c>
      <c r="Q173" s="5">
        <v>0.38</v>
      </c>
      <c r="R173" s="5">
        <v>1.1100000000000001</v>
      </c>
      <c r="S173" s="8">
        <v>1.23943661971831</v>
      </c>
      <c r="T173" s="5" t="s">
        <v>44</v>
      </c>
      <c r="U173" s="5"/>
      <c r="V173" s="5"/>
      <c r="W173" s="5"/>
      <c r="X173" s="5"/>
      <c r="Y173" s="5" t="s">
        <v>44</v>
      </c>
      <c r="Z173" s="5"/>
      <c r="AA173" s="5"/>
      <c r="AB173" s="9" t="s">
        <v>44</v>
      </c>
      <c r="AC173" s="2" t="s">
        <v>47</v>
      </c>
      <c r="AD173" s="2">
        <v>0</v>
      </c>
      <c r="AE173" s="2" t="s">
        <v>52</v>
      </c>
      <c r="AF173" s="2" t="str">
        <f t="shared" si="2"/>
        <v>Abnormal</v>
      </c>
      <c r="AG173" s="5">
        <v>1</v>
      </c>
      <c r="AH173" s="5" t="str">
        <f>IF(AG173=0,"Normal",
IF(AND(T173="Yes",S173&gt;=2),"ALD",
IF(AND(T173="Yes",S173&gt;=2,O173&gt;N173),"ALD",
IF(AND(T173="No",S173&gt;=2),"ALD",
IF(AND(G173&gt;=25,OR(T173="No",AND(T173="Yes",S173&lt;1))),"NAFLD",
IF(AND(N173&gt;O173,N173&gt;40,S173&lt;1),"NAFLD",
IF(AND(T173="Yes",S173&lt;1,G173&gt;=25,N173&gt;O173),"NAFLD",
IF(OR(P173&gt;1.2,Q173&gt;0.3),"Hyperbilirubinemia",
"Others"))))))))</f>
        <v>Hyperbilirubinemia</v>
      </c>
      <c r="AI173" s="5" t="str">
        <f>IF(AG173=0,"Normal",
IF(AND(T173="Yes",S173&gt;=2),"ALD (Confirmed)",
IF(AND(T173="Yes",S173&gt;=2,O173&gt;N173),"ALD (Confirmed)",
IF(AND(T173="No",S173&gt;=2),"ALD (Probable)",
IF(AND(G173&gt;=25,OR(T173="No",AND(T173="Yes",S173&lt;1))),"NAFLD",
IF(AND(N173&gt;O173,N173&gt;40,S173&lt;1),"NAFLD",
IF(AND(T173="Yes",S173&lt;1,G173&gt;=25,N173&gt;O173),"NAFLD",
IF(OR(P173&gt;1.2,Q173&gt;0.3),"Hyperbilirubinemia",
"Others"))))))))</f>
        <v>Hyperbilirubinemia</v>
      </c>
      <c r="AJ173" s="5">
        <v>9</v>
      </c>
      <c r="AK173" s="5" t="s">
        <v>34</v>
      </c>
    </row>
    <row r="174" spans="1:37" ht="43.2" x14ac:dyDescent="0.3">
      <c r="A174" s="5">
        <v>179</v>
      </c>
      <c r="B174" s="5" t="s">
        <v>39</v>
      </c>
      <c r="C174" s="5">
        <v>45</v>
      </c>
      <c r="D174" s="2">
        <v>20</v>
      </c>
      <c r="E174" s="5">
        <v>174</v>
      </c>
      <c r="F174" s="5">
        <v>74</v>
      </c>
      <c r="G174" s="6">
        <v>24.441802087462015</v>
      </c>
      <c r="H174" s="9" t="s">
        <v>33</v>
      </c>
      <c r="I174" s="2">
        <v>36</v>
      </c>
      <c r="J174" s="5" t="s">
        <v>45</v>
      </c>
      <c r="K174" s="5" t="s">
        <v>44</v>
      </c>
      <c r="L174" s="5" t="s">
        <v>44</v>
      </c>
      <c r="M174" s="5" t="s">
        <v>44</v>
      </c>
      <c r="N174" s="5">
        <v>68.8</v>
      </c>
      <c r="O174" s="5">
        <v>36.200000000000003</v>
      </c>
      <c r="P174" s="5">
        <v>0.47</v>
      </c>
      <c r="Q174" s="5">
        <v>0.11</v>
      </c>
      <c r="R174" s="5">
        <v>0.36</v>
      </c>
      <c r="S174" s="8">
        <v>0.52616279069767447</v>
      </c>
      <c r="T174" s="5" t="s">
        <v>44</v>
      </c>
      <c r="U174" s="5"/>
      <c r="V174" s="5"/>
      <c r="W174" s="5"/>
      <c r="X174" s="5"/>
      <c r="Y174" s="5" t="s">
        <v>44</v>
      </c>
      <c r="Z174" s="5"/>
      <c r="AA174" s="5"/>
      <c r="AB174" s="9" t="s">
        <v>44</v>
      </c>
      <c r="AC174" s="2" t="s">
        <v>46</v>
      </c>
      <c r="AD174" s="2">
        <v>0</v>
      </c>
      <c r="AE174" s="2" t="s">
        <v>49</v>
      </c>
      <c r="AF174" s="2" t="str">
        <f t="shared" si="2"/>
        <v>Abnormal</v>
      </c>
      <c r="AG174" s="5">
        <v>1</v>
      </c>
      <c r="AH174" s="5" t="str">
        <f>IF(AG174=0,"Normal",
IF(AND(T174="Yes",S174&gt;=2),"ALD",
IF(AND(T174="Yes",S174&gt;=2,O174&gt;N174),"ALD",
IF(AND(T174="No",S174&gt;=2),"ALD",
IF(AND(G174&gt;=25,OR(T174="No",AND(T174="Yes",S174&lt;1))),"NAFLD",
IF(AND(N174&gt;O174,N174&gt;40,S174&lt;1),"NAFLD",
IF(AND(T174="Yes",S174&lt;1,G174&gt;=25,N174&gt;O174),"NAFLD",
IF(OR(P174&gt;1.2,Q174&gt;0.3),"Hyperbilirubinemia",
"Others"))))))))</f>
        <v>NAFLD</v>
      </c>
      <c r="AI174" s="5" t="str">
        <f>IF(AG174=0,"Normal",
IF(AND(T174="Yes",S174&gt;=2),"ALD (Confirmed)",
IF(AND(T174="Yes",S174&gt;=2,O174&gt;N174),"ALD (Confirmed)",
IF(AND(T174="No",S174&gt;=2),"ALD (Probable)",
IF(AND(G174&gt;=25,OR(T174="No",AND(T174="Yes",S174&lt;1))),"NAFLD",
IF(AND(N174&gt;O174,N174&gt;40,S174&lt;1),"NAFLD",
IF(AND(T174="Yes",S174&lt;1,G174&gt;=25,N174&gt;O174),"NAFLD",
IF(OR(P174&gt;1.2,Q174&gt;0.3),"Hyperbilirubinemia",
"Others"))))))))</f>
        <v>NAFLD</v>
      </c>
      <c r="AJ174" s="5">
        <v>19</v>
      </c>
      <c r="AK174" s="5" t="s">
        <v>34</v>
      </c>
    </row>
    <row r="175" spans="1:37" ht="28.8" x14ac:dyDescent="0.3">
      <c r="A175" s="5">
        <v>180</v>
      </c>
      <c r="B175" s="5" t="s">
        <v>39</v>
      </c>
      <c r="C175" s="5">
        <v>39</v>
      </c>
      <c r="D175" s="2">
        <v>16</v>
      </c>
      <c r="E175" s="5">
        <v>168</v>
      </c>
      <c r="F175" s="5">
        <v>68</v>
      </c>
      <c r="G175" s="6">
        <v>24.09297052154195</v>
      </c>
      <c r="H175" s="9" t="s">
        <v>33</v>
      </c>
      <c r="I175" s="2">
        <v>32</v>
      </c>
      <c r="J175" s="5" t="s">
        <v>45</v>
      </c>
      <c r="K175" s="5" t="s">
        <v>44</v>
      </c>
      <c r="L175" s="5" t="s">
        <v>44</v>
      </c>
      <c r="M175" s="5" t="s">
        <v>44</v>
      </c>
      <c r="N175" s="5">
        <v>30.1</v>
      </c>
      <c r="O175" s="5">
        <v>39.6</v>
      </c>
      <c r="P175" s="5">
        <v>1.37</v>
      </c>
      <c r="Q175" s="5">
        <v>0.17</v>
      </c>
      <c r="R175" s="5">
        <v>1.2</v>
      </c>
      <c r="S175" s="8">
        <v>1.3156146179401993</v>
      </c>
      <c r="T175" s="5" t="s">
        <v>44</v>
      </c>
      <c r="U175" s="5"/>
      <c r="V175" s="5"/>
      <c r="W175" s="5"/>
      <c r="X175" s="5"/>
      <c r="Y175" s="5" t="s">
        <v>44</v>
      </c>
      <c r="Z175" s="5"/>
      <c r="AA175" s="5"/>
      <c r="AB175" s="9" t="s">
        <v>44</v>
      </c>
      <c r="AC175" s="2" t="s">
        <v>47</v>
      </c>
      <c r="AD175" s="2">
        <v>0</v>
      </c>
      <c r="AE175" s="2" t="s">
        <v>52</v>
      </c>
      <c r="AF175" s="2" t="str">
        <f t="shared" si="2"/>
        <v>Normal</v>
      </c>
      <c r="AG175" s="5">
        <v>0</v>
      </c>
      <c r="AH175" s="5" t="str">
        <f>IF(AG175=0,"Normal",
IF(AND(T175="Yes",S175&gt;=2),"ALD",
IF(AND(T175="Yes",S175&gt;=2,O175&gt;N175),"ALD",
IF(AND(T175="No",S175&gt;=2),"ALD",
IF(AND(G175&gt;=25,OR(T175="No",AND(T175="Yes",S175&lt;1))),"NAFLD",
IF(AND(N175&gt;O175,N175&gt;40,S175&lt;1),"NAFLD",
IF(AND(T175="Yes",S175&lt;1,G175&gt;=25,N175&gt;O175),"NAFLD",
IF(OR(P175&gt;1.2,Q175&gt;0.3),"Hyperbilirubinemia",
"Others"))))))))</f>
        <v>Normal</v>
      </c>
      <c r="AI175" s="5" t="str">
        <f>IF(AG175=0,"Normal",
IF(AND(T175="Yes",S175&gt;=2),"ALD (Confirmed)",
IF(AND(T175="Yes",S175&gt;=2,O175&gt;N175),"ALD (Confirmed)",
IF(AND(T175="No",S175&gt;=2),"ALD (Probable)",
IF(AND(G175&gt;=25,OR(T175="No",AND(T175="Yes",S175&lt;1))),"NAFLD",
IF(AND(N175&gt;O175,N175&gt;40,S175&lt;1),"NAFLD",
IF(AND(T175="Yes",S175&lt;1,G175&gt;=25,N175&gt;O175),"NAFLD",
IF(OR(P175&gt;1.2,Q175&gt;0.3),"Hyperbilirubinemia",
"Others"))))))))</f>
        <v>Normal</v>
      </c>
      <c r="AJ175" s="5">
        <v>11</v>
      </c>
      <c r="AK175" s="5" t="s">
        <v>34</v>
      </c>
    </row>
    <row r="176" spans="1:37" ht="43.2" x14ac:dyDescent="0.3">
      <c r="A176" s="5">
        <v>181</v>
      </c>
      <c r="B176" s="5" t="s">
        <v>39</v>
      </c>
      <c r="C176" s="5">
        <v>38</v>
      </c>
      <c r="D176" s="2">
        <v>8</v>
      </c>
      <c r="E176" s="5">
        <v>165</v>
      </c>
      <c r="F176" s="5">
        <v>68</v>
      </c>
      <c r="G176" s="6">
        <v>24.977043158861338</v>
      </c>
      <c r="H176" s="9" t="s">
        <v>42</v>
      </c>
      <c r="I176" s="2">
        <v>32</v>
      </c>
      <c r="J176" s="5" t="s">
        <v>44</v>
      </c>
      <c r="K176" s="5" t="s">
        <v>44</v>
      </c>
      <c r="L176" s="5" t="s">
        <v>44</v>
      </c>
      <c r="M176" s="5" t="s">
        <v>44</v>
      </c>
      <c r="N176" s="5">
        <v>43</v>
      </c>
      <c r="O176" s="5">
        <v>48.5</v>
      </c>
      <c r="P176" s="5">
        <v>0.48</v>
      </c>
      <c r="Q176" s="5">
        <v>0.06</v>
      </c>
      <c r="R176" s="5">
        <v>0.42</v>
      </c>
      <c r="S176" s="8">
        <v>1.1279069767441861</v>
      </c>
      <c r="T176" s="5" t="s">
        <v>44</v>
      </c>
      <c r="U176" s="5"/>
      <c r="V176" s="5"/>
      <c r="W176" s="5"/>
      <c r="X176" s="5"/>
      <c r="Y176" s="5" t="s">
        <v>44</v>
      </c>
      <c r="Z176" s="5"/>
      <c r="AA176" s="5"/>
      <c r="AB176" s="9" t="s">
        <v>44</v>
      </c>
      <c r="AC176" s="2" t="s">
        <v>46</v>
      </c>
      <c r="AD176" s="2">
        <v>0</v>
      </c>
      <c r="AE176" s="2" t="s">
        <v>49</v>
      </c>
      <c r="AF176" s="2" t="str">
        <f t="shared" si="2"/>
        <v>Abnormal</v>
      </c>
      <c r="AG176" s="5">
        <v>1</v>
      </c>
      <c r="AH176" s="5" t="str">
        <f>IF(AG176=0,"Normal",
IF(AND(T176="Yes",S176&gt;=2),"ALD",
IF(AND(T176="Yes",S176&gt;=2,O176&gt;N176),"ALD",
IF(AND(T176="No",S176&gt;=2),"ALD",
IF(AND(G176&gt;=25,OR(T176="No",AND(T176="Yes",S176&lt;1))),"NAFLD",
IF(AND(N176&gt;O176,N176&gt;40,S176&lt;1),"NAFLD",
IF(AND(T176="Yes",S176&lt;1,G176&gt;=25,N176&gt;O176),"NAFLD",
IF(OR(P176&gt;1.2,Q176&gt;0.3),"Hyperbilirubinemia",
"Others"))))))))</f>
        <v>Others</v>
      </c>
      <c r="AI176" s="5" t="str">
        <f>IF(AG176=0,"Normal",
IF(AND(T176="Yes",S176&gt;=2),"ALD (Confirmed)",
IF(AND(T176="Yes",S176&gt;=2,O176&gt;N176),"ALD (Confirmed)",
IF(AND(T176="No",S176&gt;=2),"ALD (Probable)",
IF(AND(G176&gt;=25,OR(T176="No",AND(T176="Yes",S176&lt;1))),"NAFLD",
IF(AND(N176&gt;O176,N176&gt;40,S176&lt;1),"NAFLD",
IF(AND(T176="Yes",S176&lt;1,G176&gt;=25,N176&gt;O176),"NAFLD",
IF(OR(P176&gt;1.2,Q176&gt;0.3),"Hyperbilirubinemia",
"Others"))))))))</f>
        <v>Others</v>
      </c>
      <c r="AJ176" s="5">
        <v>13</v>
      </c>
      <c r="AK176" s="5" t="s">
        <v>34</v>
      </c>
    </row>
    <row r="177" spans="1:37" ht="43.2" x14ac:dyDescent="0.3">
      <c r="A177" s="5">
        <v>182</v>
      </c>
      <c r="B177" s="5" t="s">
        <v>39</v>
      </c>
      <c r="C177" s="5">
        <v>21</v>
      </c>
      <c r="D177" s="2">
        <v>1</v>
      </c>
      <c r="E177" s="5">
        <v>160</v>
      </c>
      <c r="F177" s="5">
        <v>45</v>
      </c>
      <c r="G177" s="6">
        <v>17.578125</v>
      </c>
      <c r="H177" s="9" t="s">
        <v>43</v>
      </c>
      <c r="I177" s="2">
        <v>28</v>
      </c>
      <c r="J177" s="5" t="s">
        <v>44</v>
      </c>
      <c r="K177" s="5" t="s">
        <v>44</v>
      </c>
      <c r="L177" s="5" t="s">
        <v>44</v>
      </c>
      <c r="M177" s="5" t="s">
        <v>45</v>
      </c>
      <c r="N177" s="5">
        <v>23.14</v>
      </c>
      <c r="O177" s="5">
        <v>40.270000000000003</v>
      </c>
      <c r="P177" s="5">
        <v>0.55000000000000004</v>
      </c>
      <c r="Q177" s="5">
        <v>0.12</v>
      </c>
      <c r="R177" s="5">
        <v>0.43</v>
      </c>
      <c r="S177" s="8">
        <v>1.7402765773552291</v>
      </c>
      <c r="T177" s="5" t="s">
        <v>44</v>
      </c>
      <c r="U177" s="5"/>
      <c r="V177" s="5"/>
      <c r="W177" s="5"/>
      <c r="X177" s="5"/>
      <c r="Y177" s="5" t="s">
        <v>44</v>
      </c>
      <c r="Z177" s="5"/>
      <c r="AA177" s="5"/>
      <c r="AB177" s="9" t="s">
        <v>44</v>
      </c>
      <c r="AC177" s="2" t="s">
        <v>46</v>
      </c>
      <c r="AD177" s="2">
        <v>0</v>
      </c>
      <c r="AE177" s="2" t="s">
        <v>52</v>
      </c>
      <c r="AF177" s="2" t="str">
        <f t="shared" si="2"/>
        <v>Abnormal</v>
      </c>
      <c r="AG177" s="5">
        <v>1</v>
      </c>
      <c r="AH177" s="5" t="str">
        <f>IF(AG177=0,"Normal",
IF(AND(T177="Yes",S177&gt;=2),"ALD",
IF(AND(T177="Yes",S177&gt;=2,O177&gt;N177),"ALD",
IF(AND(T177="No",S177&gt;=2),"ALD",
IF(AND(G177&gt;=25,OR(T177="No",AND(T177="Yes",S177&lt;1))),"NAFLD",
IF(AND(N177&gt;O177,N177&gt;40,S177&lt;1),"NAFLD",
IF(AND(T177="Yes",S177&lt;1,G177&gt;=25,N177&gt;O177),"NAFLD",
IF(OR(P177&gt;1.2,Q177&gt;0.3),"Hyperbilirubinemia",
"Others"))))))))</f>
        <v>Others</v>
      </c>
      <c r="AI177" s="5" t="str">
        <f>IF(AG177=0,"Normal",
IF(AND(T177="Yes",S177&gt;=2),"ALD (Confirmed)",
IF(AND(T177="Yes",S177&gt;=2,O177&gt;N177),"ALD (Confirmed)",
IF(AND(T177="No",S177&gt;=2),"ALD (Probable)",
IF(AND(G177&gt;=25,OR(T177="No",AND(T177="Yes",S177&lt;1))),"NAFLD",
IF(AND(N177&gt;O177,N177&gt;40,S177&lt;1),"NAFLD",
IF(AND(T177="Yes",S177&lt;1,G177&gt;=25,N177&gt;O177),"NAFLD",
IF(OR(P177&gt;1.2,Q177&gt;0.3),"Hyperbilirubinemia",
"Others"))))))))</f>
        <v>Others</v>
      </c>
      <c r="AJ177" s="5">
        <v>9</v>
      </c>
      <c r="AK177" s="5" t="s">
        <v>34</v>
      </c>
    </row>
    <row r="178" spans="1:37" ht="43.2" x14ac:dyDescent="0.3">
      <c r="A178" s="5">
        <v>183</v>
      </c>
      <c r="B178" s="5" t="s">
        <v>39</v>
      </c>
      <c r="C178" s="5">
        <v>45</v>
      </c>
      <c r="D178" s="2">
        <v>8</v>
      </c>
      <c r="E178" s="5">
        <v>170</v>
      </c>
      <c r="F178" s="5">
        <v>79</v>
      </c>
      <c r="G178" s="6">
        <v>27.335640138408305</v>
      </c>
      <c r="H178" s="9" t="s">
        <v>42</v>
      </c>
      <c r="I178" s="2">
        <v>36</v>
      </c>
      <c r="J178" s="5" t="s">
        <v>44</v>
      </c>
      <c r="K178" s="5" t="s">
        <v>44</v>
      </c>
      <c r="L178" s="5" t="s">
        <v>44</v>
      </c>
      <c r="M178" s="5" t="s">
        <v>44</v>
      </c>
      <c r="N178" s="5">
        <v>35.86</v>
      </c>
      <c r="O178" s="5">
        <v>72.66</v>
      </c>
      <c r="P178" s="5">
        <v>0.15</v>
      </c>
      <c r="Q178" s="5">
        <v>0.06</v>
      </c>
      <c r="R178" s="5">
        <v>0.09</v>
      </c>
      <c r="S178" s="8">
        <v>2.0262130507529279</v>
      </c>
      <c r="T178" s="5" t="s">
        <v>44</v>
      </c>
      <c r="U178" s="5"/>
      <c r="V178" s="5"/>
      <c r="W178" s="5"/>
      <c r="X178" s="5"/>
      <c r="Y178" s="5" t="s">
        <v>44</v>
      </c>
      <c r="Z178" s="5"/>
      <c r="AA178" s="5"/>
      <c r="AB178" s="9" t="s">
        <v>44</v>
      </c>
      <c r="AC178" s="2" t="s">
        <v>46</v>
      </c>
      <c r="AD178" s="2">
        <v>0</v>
      </c>
      <c r="AE178" s="2" t="s">
        <v>48</v>
      </c>
      <c r="AF178" s="2" t="str">
        <f t="shared" si="2"/>
        <v>Abnormal</v>
      </c>
      <c r="AG178" s="5">
        <v>1</v>
      </c>
      <c r="AH178" s="5" t="str">
        <f>IF(AG178=0,"Normal",
IF(AND(T178="Yes",S178&gt;=2),"ALD",
IF(AND(T178="Yes",S178&gt;=2,O178&gt;N178),"ALD",
IF(AND(T178="No",S178&gt;=2),"ALD",
IF(AND(G178&gt;=25,OR(T178="No",AND(T178="Yes",S178&lt;1))),"NAFLD",
IF(AND(N178&gt;O178,N178&gt;40,S178&lt;1),"NAFLD",
IF(AND(T178="Yes",S178&lt;1,G178&gt;=25,N178&gt;O178),"NAFLD",
IF(OR(P178&gt;1.2,Q178&gt;0.3),"Hyperbilirubinemia",
"Others"))))))))</f>
        <v>ALD</v>
      </c>
      <c r="AI178" s="5" t="str">
        <f>IF(AG178=0,"Normal",
IF(AND(T178="Yes",S178&gt;=2),"ALD (Confirmed)",
IF(AND(T178="Yes",S178&gt;=2,O178&gt;N178),"ALD (Confirmed)",
IF(AND(T178="No",S178&gt;=2),"ALD (Probable)",
IF(AND(G178&gt;=25,OR(T178="No",AND(T178="Yes",S178&lt;1))),"NAFLD",
IF(AND(N178&gt;O178,N178&gt;40,S178&lt;1),"NAFLD",
IF(AND(T178="Yes",S178&lt;1,G178&gt;=25,N178&gt;O178),"NAFLD",
IF(OR(P178&gt;1.2,Q178&gt;0.3),"Hyperbilirubinemia",
"Others"))))))))</f>
        <v>ALD (Probable)</v>
      </c>
      <c r="AJ178" s="5">
        <v>17</v>
      </c>
      <c r="AK178" s="5" t="s">
        <v>34</v>
      </c>
    </row>
    <row r="179" spans="1:37" ht="43.2" x14ac:dyDescent="0.3">
      <c r="A179" s="5">
        <v>184</v>
      </c>
      <c r="B179" s="5" t="s">
        <v>39</v>
      </c>
      <c r="C179" s="5">
        <v>42</v>
      </c>
      <c r="D179" s="2">
        <v>14</v>
      </c>
      <c r="E179" s="5">
        <v>160</v>
      </c>
      <c r="F179" s="5">
        <v>63</v>
      </c>
      <c r="G179" s="6">
        <v>24.609375</v>
      </c>
      <c r="H179" s="9" t="s">
        <v>33</v>
      </c>
      <c r="I179" s="2">
        <v>32</v>
      </c>
      <c r="J179" s="5" t="s">
        <v>44</v>
      </c>
      <c r="K179" s="5" t="s">
        <v>44</v>
      </c>
      <c r="L179" s="5" t="s">
        <v>44</v>
      </c>
      <c r="M179" s="5" t="s">
        <v>44</v>
      </c>
      <c r="N179" s="5">
        <v>32</v>
      </c>
      <c r="O179" s="5">
        <v>38.200000000000003</v>
      </c>
      <c r="P179" s="5">
        <v>0.46</v>
      </c>
      <c r="Q179" s="5">
        <v>0.11</v>
      </c>
      <c r="R179" s="5">
        <v>0.35</v>
      </c>
      <c r="S179" s="8">
        <v>1.1937500000000001</v>
      </c>
      <c r="T179" s="5" t="s">
        <v>44</v>
      </c>
      <c r="U179" s="5"/>
      <c r="V179" s="5"/>
      <c r="W179" s="5"/>
      <c r="X179" s="5"/>
      <c r="Y179" s="5" t="s">
        <v>44</v>
      </c>
      <c r="Z179" s="5"/>
      <c r="AA179" s="5"/>
      <c r="AB179" s="9" t="s">
        <v>44</v>
      </c>
      <c r="AC179" s="2" t="s">
        <v>46</v>
      </c>
      <c r="AD179" s="2">
        <v>0</v>
      </c>
      <c r="AE179" s="2" t="s">
        <v>52</v>
      </c>
      <c r="AF179" s="2" t="str">
        <f t="shared" si="2"/>
        <v>Normal</v>
      </c>
      <c r="AG179" s="5">
        <v>0</v>
      </c>
      <c r="AH179" s="5" t="str">
        <f>IF(AG179=0,"Normal",
IF(AND(T179="Yes",S179&gt;=2),"ALD",
IF(AND(T179="Yes",S179&gt;=2,O179&gt;N179),"ALD",
IF(AND(T179="No",S179&gt;=2),"ALD",
IF(AND(G179&gt;=25,OR(T179="No",AND(T179="Yes",S179&lt;1))),"NAFLD",
IF(AND(N179&gt;O179,N179&gt;40,S179&lt;1),"NAFLD",
IF(AND(T179="Yes",S179&lt;1,G179&gt;=25,N179&gt;O179),"NAFLD",
IF(OR(P179&gt;1.2,Q179&gt;0.3),"Hyperbilirubinemia",
"Others"))))))))</f>
        <v>Normal</v>
      </c>
      <c r="AI179" s="5" t="str">
        <f>IF(AG179=0,"Normal",
IF(AND(T179="Yes",S179&gt;=2),"ALD (Confirmed)",
IF(AND(T179="Yes",S179&gt;=2,O179&gt;N179),"ALD (Confirmed)",
IF(AND(T179="No",S179&gt;=2),"ALD (Probable)",
IF(AND(G179&gt;=25,OR(T179="No",AND(T179="Yes",S179&lt;1))),"NAFLD",
IF(AND(N179&gt;O179,N179&gt;40,S179&lt;1),"NAFLD",
IF(AND(T179="Yes",S179&lt;1,G179&gt;=25,N179&gt;O179),"NAFLD",
IF(OR(P179&gt;1.2,Q179&gt;0.3),"Hyperbilirubinemia",
"Others"))))))))</f>
        <v>Normal</v>
      </c>
      <c r="AJ179" s="5">
        <v>7</v>
      </c>
      <c r="AK179" s="5" t="s">
        <v>34</v>
      </c>
    </row>
    <row r="180" spans="1:37" ht="43.2" x14ac:dyDescent="0.3">
      <c r="A180" s="5">
        <v>185</v>
      </c>
      <c r="B180" s="5" t="s">
        <v>39</v>
      </c>
      <c r="C180" s="5">
        <v>31</v>
      </c>
      <c r="D180" s="2">
        <v>5</v>
      </c>
      <c r="E180" s="5">
        <v>180</v>
      </c>
      <c r="F180" s="5">
        <v>93</v>
      </c>
      <c r="G180" s="6">
        <v>28.703703703703702</v>
      </c>
      <c r="H180" s="9" t="s">
        <v>42</v>
      </c>
      <c r="I180" s="2">
        <v>36</v>
      </c>
      <c r="J180" s="5" t="s">
        <v>44</v>
      </c>
      <c r="K180" s="5" t="s">
        <v>44</v>
      </c>
      <c r="L180" s="5" t="s">
        <v>44</v>
      </c>
      <c r="M180" s="5" t="s">
        <v>44</v>
      </c>
      <c r="N180" s="5">
        <v>82</v>
      </c>
      <c r="O180" s="5">
        <v>35.200000000000003</v>
      </c>
      <c r="P180" s="5">
        <v>0.78</v>
      </c>
      <c r="Q180" s="5">
        <v>0.22</v>
      </c>
      <c r="R180" s="5">
        <v>0.56000000000000005</v>
      </c>
      <c r="S180" s="8">
        <v>0.42926829268292688</v>
      </c>
      <c r="T180" s="5" t="s">
        <v>45</v>
      </c>
      <c r="U180" s="5" t="s">
        <v>58</v>
      </c>
      <c r="V180" s="5" t="s">
        <v>61</v>
      </c>
      <c r="W180" s="5" t="s">
        <v>65</v>
      </c>
      <c r="X180" s="5" t="s">
        <v>67</v>
      </c>
      <c r="Y180" s="5" t="s">
        <v>44</v>
      </c>
      <c r="Z180" s="5"/>
      <c r="AA180" s="5"/>
      <c r="AB180" s="9" t="s">
        <v>44</v>
      </c>
      <c r="AC180" s="2" t="s">
        <v>46</v>
      </c>
      <c r="AD180" s="2">
        <v>0</v>
      </c>
      <c r="AE180" s="2" t="s">
        <v>49</v>
      </c>
      <c r="AF180" s="2" t="str">
        <f t="shared" si="2"/>
        <v>Abnormal</v>
      </c>
      <c r="AG180" s="5">
        <v>1</v>
      </c>
      <c r="AH180" s="5" t="str">
        <f>IF(AG180=0,"Normal",
IF(AND(T180="Yes",S180&gt;=2),"ALD",
IF(AND(T180="Yes",S180&gt;=2,O180&gt;N180),"ALD",
IF(AND(T180="No",S180&gt;=2),"ALD",
IF(AND(G180&gt;=25,OR(T180="No",AND(T180="Yes",S180&lt;1))),"NAFLD",
IF(AND(N180&gt;O180,N180&gt;40,S180&lt;1),"NAFLD",
IF(AND(T180="Yes",S180&lt;1,G180&gt;=25,N180&gt;O180),"NAFLD",
IF(OR(P180&gt;1.2,Q180&gt;0.3),"Hyperbilirubinemia",
"Others"))))))))</f>
        <v>NAFLD</v>
      </c>
      <c r="AI180" s="5" t="str">
        <f>IF(AG180=0,"Normal",
IF(AND(T180="Yes",S180&gt;=2),"ALD (Confirmed)",
IF(AND(T180="Yes",S180&gt;=2,O180&gt;N180),"ALD (Confirmed)",
IF(AND(T180="No",S180&gt;=2),"ALD (Probable)",
IF(AND(G180&gt;=25,OR(T180="No",AND(T180="Yes",S180&lt;1))),"NAFLD",
IF(AND(N180&gt;O180,N180&gt;40,S180&lt;1),"NAFLD",
IF(AND(T180="Yes",S180&lt;1,G180&gt;=25,N180&gt;O180),"NAFLD",
IF(OR(P180&gt;1.2,Q180&gt;0.3),"Hyperbilirubinemia",
"Others"))))))))</f>
        <v>NAFLD</v>
      </c>
      <c r="AJ180" s="5">
        <v>33</v>
      </c>
      <c r="AK180" s="5" t="s">
        <v>35</v>
      </c>
    </row>
    <row r="181" spans="1:37" ht="43.2" x14ac:dyDescent="0.3">
      <c r="A181" s="5">
        <v>186</v>
      </c>
      <c r="B181" s="5" t="s">
        <v>39</v>
      </c>
      <c r="C181" s="5">
        <v>47</v>
      </c>
      <c r="D181" s="2">
        <v>12</v>
      </c>
      <c r="E181" s="5">
        <v>160</v>
      </c>
      <c r="F181" s="5">
        <v>68</v>
      </c>
      <c r="G181" s="6">
        <v>26.562500000000004</v>
      </c>
      <c r="H181" s="9" t="s">
        <v>42</v>
      </c>
      <c r="I181" s="2">
        <v>34</v>
      </c>
      <c r="J181" s="5" t="s">
        <v>44</v>
      </c>
      <c r="K181" s="5" t="s">
        <v>44</v>
      </c>
      <c r="L181" s="5" t="s">
        <v>45</v>
      </c>
      <c r="M181" s="5" t="s">
        <v>45</v>
      </c>
      <c r="N181" s="5">
        <v>35.4</v>
      </c>
      <c r="O181" s="5">
        <v>42.9</v>
      </c>
      <c r="P181" s="5">
        <v>0.38</v>
      </c>
      <c r="Q181" s="5">
        <v>0.13</v>
      </c>
      <c r="R181" s="5">
        <v>0.25</v>
      </c>
      <c r="S181" s="8">
        <v>1.2118644067796611</v>
      </c>
      <c r="T181" s="5" t="s">
        <v>44</v>
      </c>
      <c r="U181" s="5"/>
      <c r="V181" s="5"/>
      <c r="W181" s="5"/>
      <c r="X181" s="5"/>
      <c r="Y181" s="5" t="s">
        <v>44</v>
      </c>
      <c r="Z181" s="5"/>
      <c r="AA181" s="5"/>
      <c r="AB181" s="9" t="s">
        <v>44</v>
      </c>
      <c r="AC181" s="2" t="s">
        <v>46</v>
      </c>
      <c r="AD181" s="2">
        <v>0</v>
      </c>
      <c r="AE181" s="2" t="s">
        <v>49</v>
      </c>
      <c r="AF181" s="2" t="str">
        <f t="shared" si="2"/>
        <v>Abnormal</v>
      </c>
      <c r="AG181" s="5">
        <v>1</v>
      </c>
      <c r="AH181" s="5" t="str">
        <f>IF(AG181=0,"Normal",
IF(AND(T181="Yes",S181&gt;=2),"ALD",
IF(AND(T181="Yes",S181&gt;=2,O181&gt;N181),"ALD",
IF(AND(T181="No",S181&gt;=2),"ALD",
IF(AND(G181&gt;=25,OR(T181="No",AND(T181="Yes",S181&lt;1))),"NAFLD",
IF(AND(N181&gt;O181,N181&gt;40,S181&lt;1),"NAFLD",
IF(AND(T181="Yes",S181&lt;1,G181&gt;=25,N181&gt;O181),"NAFLD",
IF(OR(P181&gt;1.2,Q181&gt;0.3),"Hyperbilirubinemia",
"Others"))))))))</f>
        <v>NAFLD</v>
      </c>
      <c r="AI181" s="5" t="str">
        <f>IF(AG181=0,"Normal",
IF(AND(T181="Yes",S181&gt;=2),"ALD (Confirmed)",
IF(AND(T181="Yes",S181&gt;=2,O181&gt;N181),"ALD (Confirmed)",
IF(AND(T181="No",S181&gt;=2),"ALD (Probable)",
IF(AND(G181&gt;=25,OR(T181="No",AND(T181="Yes",S181&lt;1))),"NAFLD",
IF(AND(N181&gt;O181,N181&gt;40,S181&lt;1),"NAFLD",
IF(AND(T181="Yes",S181&lt;1,G181&gt;=25,N181&gt;O181),"NAFLD",
IF(OR(P181&gt;1.2,Q181&gt;0.3),"Hyperbilirubinemia",
"Others"))))))))</f>
        <v>NAFLD</v>
      </c>
      <c r="AJ181" s="5">
        <v>21</v>
      </c>
      <c r="AK181" s="5" t="s">
        <v>35</v>
      </c>
    </row>
    <row r="182" spans="1:37" ht="28.8" x14ac:dyDescent="0.3">
      <c r="A182" s="5">
        <v>187</v>
      </c>
      <c r="B182" s="5" t="s">
        <v>39</v>
      </c>
      <c r="C182" s="5">
        <v>38</v>
      </c>
      <c r="D182" s="2">
        <v>14</v>
      </c>
      <c r="E182" s="5">
        <v>170</v>
      </c>
      <c r="F182" s="5">
        <v>62</v>
      </c>
      <c r="G182" s="6">
        <v>21.453287197231834</v>
      </c>
      <c r="H182" s="9" t="s">
        <v>33</v>
      </c>
      <c r="I182" s="2">
        <v>30</v>
      </c>
      <c r="J182" s="5" t="s">
        <v>44</v>
      </c>
      <c r="K182" s="5" t="s">
        <v>44</v>
      </c>
      <c r="L182" s="5" t="s">
        <v>44</v>
      </c>
      <c r="M182" s="5" t="s">
        <v>45</v>
      </c>
      <c r="N182" s="5">
        <v>45.2</v>
      </c>
      <c r="O182" s="5">
        <v>39.200000000000003</v>
      </c>
      <c r="P182" s="5">
        <v>1.1499999999999999</v>
      </c>
      <c r="Q182" s="5">
        <v>0.19</v>
      </c>
      <c r="R182" s="5">
        <v>0.96</v>
      </c>
      <c r="S182" s="8">
        <v>0.86725663716814161</v>
      </c>
      <c r="T182" s="5" t="s">
        <v>44</v>
      </c>
      <c r="U182" s="5"/>
      <c r="V182" s="5"/>
      <c r="W182" s="5"/>
      <c r="X182" s="5"/>
      <c r="Y182" s="5" t="s">
        <v>44</v>
      </c>
      <c r="Z182" s="5"/>
      <c r="AA182" s="5"/>
      <c r="AB182" s="9" t="s">
        <v>44</v>
      </c>
      <c r="AC182" s="2" t="s">
        <v>47</v>
      </c>
      <c r="AD182" s="2">
        <v>0</v>
      </c>
      <c r="AE182" s="2" t="s">
        <v>52</v>
      </c>
      <c r="AF182" s="2" t="str">
        <f t="shared" si="2"/>
        <v>Normal</v>
      </c>
      <c r="AG182" s="5">
        <v>0</v>
      </c>
      <c r="AH182" s="5" t="str">
        <f>IF(AG182=0,"Normal",
IF(AND(T182="Yes",S182&gt;=2),"ALD",
IF(AND(T182="Yes",S182&gt;=2,O182&gt;N182),"ALD",
IF(AND(T182="No",S182&gt;=2),"ALD",
IF(AND(G182&gt;=25,OR(T182="No",AND(T182="Yes",S182&lt;1))),"NAFLD",
IF(AND(N182&gt;O182,N182&gt;40,S182&lt;1),"NAFLD",
IF(AND(T182="Yes",S182&lt;1,G182&gt;=25,N182&gt;O182),"NAFLD",
IF(OR(P182&gt;1.2,Q182&gt;0.3),"Hyperbilirubinemia",
"Others"))))))))</f>
        <v>Normal</v>
      </c>
      <c r="AI182" s="5" t="str">
        <f>IF(AG182=0,"Normal",
IF(AND(T182="Yes",S182&gt;=2),"ALD (Confirmed)",
IF(AND(T182="Yes",S182&gt;=2,O182&gt;N182),"ALD (Confirmed)",
IF(AND(T182="No",S182&gt;=2),"ALD (Probable)",
IF(AND(G182&gt;=25,OR(T182="No",AND(T182="Yes",S182&lt;1))),"NAFLD",
IF(AND(N182&gt;O182,N182&gt;40,S182&lt;1),"NAFLD",
IF(AND(T182="Yes",S182&lt;1,G182&gt;=25,N182&gt;O182),"NAFLD",
IF(OR(P182&gt;1.2,Q182&gt;0.3),"Hyperbilirubinemia",
"Others"))))))))</f>
        <v>Normal</v>
      </c>
      <c r="AJ182" s="5">
        <v>10</v>
      </c>
      <c r="AK182" s="5" t="s">
        <v>34</v>
      </c>
    </row>
    <row r="183" spans="1:37" ht="43.2" x14ac:dyDescent="0.3">
      <c r="A183" s="5">
        <v>189</v>
      </c>
      <c r="B183" s="5" t="s">
        <v>39</v>
      </c>
      <c r="C183" s="5">
        <v>40</v>
      </c>
      <c r="D183" s="2">
        <v>14</v>
      </c>
      <c r="E183" s="5">
        <v>168</v>
      </c>
      <c r="F183" s="5">
        <v>85</v>
      </c>
      <c r="G183" s="6">
        <v>30.116213151927436</v>
      </c>
      <c r="H183" s="9" t="s">
        <v>41</v>
      </c>
      <c r="I183" s="2">
        <v>34</v>
      </c>
      <c r="J183" s="5" t="s">
        <v>44</v>
      </c>
      <c r="K183" s="5" t="s">
        <v>44</v>
      </c>
      <c r="L183" s="5" t="s">
        <v>44</v>
      </c>
      <c r="M183" s="5" t="s">
        <v>44</v>
      </c>
      <c r="N183" s="5">
        <v>28.4</v>
      </c>
      <c r="O183" s="5">
        <v>43.9</v>
      </c>
      <c r="P183" s="5">
        <v>0.44</v>
      </c>
      <c r="Q183" s="5">
        <v>0.08</v>
      </c>
      <c r="R183" s="5">
        <v>0.36</v>
      </c>
      <c r="S183" s="8">
        <v>1.545774647887324</v>
      </c>
      <c r="T183" s="5" t="s">
        <v>44</v>
      </c>
      <c r="U183" s="5"/>
      <c r="V183" s="5"/>
      <c r="W183" s="5"/>
      <c r="X183" s="5"/>
      <c r="Y183" s="5" t="s">
        <v>44</v>
      </c>
      <c r="Z183" s="5"/>
      <c r="AA183" s="5"/>
      <c r="AB183" s="9" t="s">
        <v>44</v>
      </c>
      <c r="AC183" s="2" t="s">
        <v>46</v>
      </c>
      <c r="AD183" s="2">
        <v>0</v>
      </c>
      <c r="AE183" s="2" t="s">
        <v>52</v>
      </c>
      <c r="AF183" s="2" t="str">
        <f t="shared" si="2"/>
        <v>Abnormal</v>
      </c>
      <c r="AG183" s="5">
        <v>1</v>
      </c>
      <c r="AH183" s="5" t="str">
        <f>IF(AG183=0,"Normal",
IF(AND(T183="Yes",S183&gt;=2),"ALD",
IF(AND(T183="Yes",S183&gt;=2,O183&gt;N183),"ALD",
IF(AND(T183="No",S183&gt;=2),"ALD",
IF(AND(G183&gt;=25,OR(T183="No",AND(T183="Yes",S183&lt;1))),"NAFLD",
IF(AND(N183&gt;O183,N183&gt;40,S183&lt;1),"NAFLD",
IF(AND(T183="Yes",S183&lt;1,G183&gt;=25,N183&gt;O183),"NAFLD",
IF(OR(P183&gt;1.2,Q183&gt;0.3),"Hyperbilirubinemia",
"Others"))))))))</f>
        <v>NAFLD</v>
      </c>
      <c r="AI183" s="5" t="str">
        <f>IF(AG183=0,"Normal",
IF(AND(T183="Yes",S183&gt;=2),"ALD (Confirmed)",
IF(AND(T183="Yes",S183&gt;=2,O183&gt;N183),"ALD (Confirmed)",
IF(AND(T183="No",S183&gt;=2),"ALD (Probable)",
IF(AND(G183&gt;=25,OR(T183="No",AND(T183="Yes",S183&lt;1))),"NAFLD",
IF(AND(N183&gt;O183,N183&gt;40,S183&lt;1),"NAFLD",
IF(AND(T183="Yes",S183&lt;1,G183&gt;=25,N183&gt;O183),"NAFLD",
IF(OR(P183&gt;1.2,Q183&gt;0.3),"Hyperbilirubinemia",
"Others"))))))))</f>
        <v>NAFLD</v>
      </c>
      <c r="AJ183" s="5">
        <v>24</v>
      </c>
      <c r="AK183" s="5" t="s">
        <v>35</v>
      </c>
    </row>
    <row r="184" spans="1:37" ht="43.2" x14ac:dyDescent="0.3">
      <c r="A184" s="5">
        <v>190</v>
      </c>
      <c r="B184" s="5" t="s">
        <v>39</v>
      </c>
      <c r="C184" s="5">
        <v>37</v>
      </c>
      <c r="D184" s="2">
        <v>16</v>
      </c>
      <c r="E184" s="5">
        <v>175</v>
      </c>
      <c r="F184" s="5">
        <v>70</v>
      </c>
      <c r="G184" s="6">
        <v>22.857142857142858</v>
      </c>
      <c r="H184" s="9" t="s">
        <v>33</v>
      </c>
      <c r="I184" s="2">
        <v>34</v>
      </c>
      <c r="J184" s="5" t="s">
        <v>44</v>
      </c>
      <c r="K184" s="5" t="s">
        <v>44</v>
      </c>
      <c r="L184" s="5" t="s">
        <v>44</v>
      </c>
      <c r="M184" s="5" t="s">
        <v>45</v>
      </c>
      <c r="N184" s="5">
        <v>17.47</v>
      </c>
      <c r="O184" s="5">
        <v>110.17</v>
      </c>
      <c r="P184" s="5">
        <v>0.6</v>
      </c>
      <c r="Q184" s="5">
        <v>0.16</v>
      </c>
      <c r="R184" s="5">
        <v>0.44</v>
      </c>
      <c r="S184" s="8">
        <v>6.306239267315398</v>
      </c>
      <c r="T184" s="5" t="s">
        <v>45</v>
      </c>
      <c r="U184" s="5" t="s">
        <v>56</v>
      </c>
      <c r="V184" s="5" t="s">
        <v>62</v>
      </c>
      <c r="W184" s="5" t="s">
        <v>64</v>
      </c>
      <c r="X184" s="5" t="s">
        <v>68</v>
      </c>
      <c r="Y184" s="5" t="s">
        <v>44</v>
      </c>
      <c r="Z184" s="5"/>
      <c r="AA184" s="5"/>
      <c r="AB184" s="9" t="s">
        <v>44</v>
      </c>
      <c r="AC184" s="2" t="s">
        <v>46</v>
      </c>
      <c r="AD184" s="2">
        <v>0</v>
      </c>
      <c r="AE184" s="2" t="s">
        <v>52</v>
      </c>
      <c r="AF184" s="2" t="str">
        <f t="shared" si="2"/>
        <v>Abnormal</v>
      </c>
      <c r="AG184" s="5">
        <v>1</v>
      </c>
      <c r="AH184" s="5" t="str">
        <f>IF(AG184=0,"Normal",
IF(AND(T184="Yes",S184&gt;=2),"ALD",
IF(AND(T184="Yes",S184&gt;=2,O184&gt;N184),"ALD",
IF(AND(T184="No",S184&gt;=2),"ALD",
IF(AND(G184&gt;=25,OR(T184="No",AND(T184="Yes",S184&lt;1))),"NAFLD",
IF(AND(N184&gt;O184,N184&gt;40,S184&lt;1),"NAFLD",
IF(AND(T184="Yes",S184&lt;1,G184&gt;=25,N184&gt;O184),"NAFLD",
IF(OR(P184&gt;1.2,Q184&gt;0.3),"Hyperbilirubinemia",
"Others"))))))))</f>
        <v>ALD</v>
      </c>
      <c r="AI184" s="5" t="str">
        <f>IF(AG184=0,"Normal",
IF(AND(T184="Yes",S184&gt;=2),"ALD (Confirmed)",
IF(AND(T184="Yes",S184&gt;=2,O184&gt;N184),"ALD (Confirmed)",
IF(AND(T184="No",S184&gt;=2),"ALD (Probable)",
IF(AND(G184&gt;=25,OR(T184="No",AND(T184="Yes",S184&lt;1))),"NAFLD",
IF(AND(N184&gt;O184,N184&gt;40,S184&lt;1),"NAFLD",
IF(AND(T184="Yes",S184&lt;1,G184&gt;=25,N184&gt;O184),"NAFLD",
IF(OR(P184&gt;1.2,Q184&gt;0.3),"Hyperbilirubinemia",
"Others"))))))))</f>
        <v>ALD (Confirmed)</v>
      </c>
      <c r="AJ184" s="5">
        <v>32</v>
      </c>
      <c r="AK184" s="5" t="s">
        <v>35</v>
      </c>
    </row>
    <row r="185" spans="1:37" ht="43.2" x14ac:dyDescent="0.3">
      <c r="A185" s="5">
        <v>191</v>
      </c>
      <c r="B185" s="5" t="s">
        <v>39</v>
      </c>
      <c r="C185" s="5">
        <v>46</v>
      </c>
      <c r="D185" s="2">
        <v>20</v>
      </c>
      <c r="E185" s="5">
        <v>170</v>
      </c>
      <c r="F185" s="5">
        <v>71</v>
      </c>
      <c r="G185" s="6">
        <v>24.567474048442904</v>
      </c>
      <c r="H185" s="9" t="s">
        <v>33</v>
      </c>
      <c r="I185" s="2">
        <v>32</v>
      </c>
      <c r="J185" s="5" t="s">
        <v>44</v>
      </c>
      <c r="K185" s="5" t="s">
        <v>44</v>
      </c>
      <c r="L185" s="5" t="s">
        <v>44</v>
      </c>
      <c r="M185" s="5" t="s">
        <v>44</v>
      </c>
      <c r="N185" s="5">
        <v>35.9</v>
      </c>
      <c r="O185" s="5">
        <v>30.1</v>
      </c>
      <c r="P185" s="5">
        <v>0.27</v>
      </c>
      <c r="Q185" s="5">
        <v>0.04</v>
      </c>
      <c r="R185" s="5">
        <v>0.23</v>
      </c>
      <c r="S185" s="8">
        <v>0.83844011142061292</v>
      </c>
      <c r="T185" s="5" t="s">
        <v>44</v>
      </c>
      <c r="U185" s="5"/>
      <c r="V185" s="5"/>
      <c r="W185" s="5"/>
      <c r="X185" s="5"/>
      <c r="Y185" s="5" t="s">
        <v>44</v>
      </c>
      <c r="Z185" s="5"/>
      <c r="AA185" s="5"/>
      <c r="AB185" s="9" t="s">
        <v>44</v>
      </c>
      <c r="AC185" s="2" t="s">
        <v>46</v>
      </c>
      <c r="AD185" s="2">
        <v>0</v>
      </c>
      <c r="AE185" s="2" t="s">
        <v>49</v>
      </c>
      <c r="AF185" s="2" t="str">
        <f t="shared" si="2"/>
        <v>Normal</v>
      </c>
      <c r="AG185" s="5">
        <v>0</v>
      </c>
      <c r="AH185" s="5" t="str">
        <f>IF(AG185=0,"Normal",
IF(AND(T185="Yes",S185&gt;=2),"ALD",
IF(AND(T185="Yes",S185&gt;=2,O185&gt;N185),"ALD",
IF(AND(T185="No",S185&gt;=2),"ALD",
IF(AND(G185&gt;=25,OR(T185="No",AND(T185="Yes",S185&lt;1))),"NAFLD",
IF(AND(N185&gt;O185,N185&gt;40,S185&lt;1),"NAFLD",
IF(AND(T185="Yes",S185&lt;1,G185&gt;=25,N185&gt;O185),"NAFLD",
IF(OR(P185&gt;1.2,Q185&gt;0.3),"Hyperbilirubinemia",
"Others"))))))))</f>
        <v>Normal</v>
      </c>
      <c r="AI185" s="5" t="str">
        <f>IF(AG185=0,"Normal",
IF(AND(T185="Yes",S185&gt;=2),"ALD (Confirmed)",
IF(AND(T185="Yes",S185&gt;=2,O185&gt;N185),"ALD (Confirmed)",
IF(AND(T185="No",S185&gt;=2),"ALD (Probable)",
IF(AND(G185&gt;=25,OR(T185="No",AND(T185="Yes",S185&lt;1))),"NAFLD",
IF(AND(N185&gt;O185,N185&gt;40,S185&lt;1),"NAFLD",
IF(AND(T185="Yes",S185&lt;1,G185&gt;=25,N185&gt;O185),"NAFLD",
IF(OR(P185&gt;1.2,Q185&gt;0.3),"Hyperbilirubinemia",
"Others"))))))))</f>
        <v>Normal</v>
      </c>
      <c r="AJ185" s="5">
        <v>9</v>
      </c>
      <c r="AK185" s="5" t="s">
        <v>34</v>
      </c>
    </row>
    <row r="186" spans="1:37" ht="43.2" x14ac:dyDescent="0.3">
      <c r="A186" s="5">
        <v>192</v>
      </c>
      <c r="B186" s="5" t="s">
        <v>39</v>
      </c>
      <c r="C186" s="5">
        <v>28</v>
      </c>
      <c r="D186" s="2">
        <v>6</v>
      </c>
      <c r="E186" s="5">
        <v>173</v>
      </c>
      <c r="F186" s="5">
        <v>90</v>
      </c>
      <c r="G186" s="6">
        <v>30.071168431955627</v>
      </c>
      <c r="H186" s="9" t="s">
        <v>41</v>
      </c>
      <c r="I186" s="2">
        <v>38</v>
      </c>
      <c r="J186" s="5" t="s">
        <v>44</v>
      </c>
      <c r="K186" s="5" t="s">
        <v>44</v>
      </c>
      <c r="L186" s="5" t="s">
        <v>44</v>
      </c>
      <c r="M186" s="5" t="s">
        <v>44</v>
      </c>
      <c r="N186" s="5">
        <v>56.5</v>
      </c>
      <c r="O186" s="5">
        <v>50.2</v>
      </c>
      <c r="P186" s="5">
        <v>0.37</v>
      </c>
      <c r="Q186" s="5">
        <v>0.04</v>
      </c>
      <c r="R186" s="5">
        <v>0.33</v>
      </c>
      <c r="S186" s="8">
        <v>0.88849557522123901</v>
      </c>
      <c r="T186" s="5" t="s">
        <v>45</v>
      </c>
      <c r="U186" s="5" t="s">
        <v>56</v>
      </c>
      <c r="V186" s="5" t="s">
        <v>61</v>
      </c>
      <c r="W186" s="5" t="s">
        <v>64</v>
      </c>
      <c r="X186" s="5" t="s">
        <v>67</v>
      </c>
      <c r="Y186" s="5" t="s">
        <v>44</v>
      </c>
      <c r="Z186" s="5"/>
      <c r="AA186" s="5"/>
      <c r="AB186" s="9" t="s">
        <v>44</v>
      </c>
      <c r="AC186" s="2" t="s">
        <v>46</v>
      </c>
      <c r="AD186" s="2">
        <v>0</v>
      </c>
      <c r="AE186" s="2" t="s">
        <v>52</v>
      </c>
      <c r="AF186" s="2" t="str">
        <f t="shared" si="2"/>
        <v>Abnormal</v>
      </c>
      <c r="AG186" s="5">
        <v>1</v>
      </c>
      <c r="AH186" s="5" t="str">
        <f>IF(AG186=0,"Normal",
IF(AND(T186="Yes",S186&gt;=2),"ALD",
IF(AND(T186="Yes",S186&gt;=2,O186&gt;N186),"ALD",
IF(AND(T186="No",S186&gt;=2),"ALD",
IF(AND(G186&gt;=25,OR(T186="No",AND(T186="Yes",S186&lt;1))),"NAFLD",
IF(AND(N186&gt;O186,N186&gt;40,S186&lt;1),"NAFLD",
IF(AND(T186="Yes",S186&lt;1,G186&gt;=25,N186&gt;O186),"NAFLD",
IF(OR(P186&gt;1.2,Q186&gt;0.3),"Hyperbilirubinemia",
"Others"))))))))</f>
        <v>NAFLD</v>
      </c>
      <c r="AI186" s="5" t="str">
        <f>IF(AG186=0,"Normal",
IF(AND(T186="Yes",S186&gt;=2),"ALD (Confirmed)",
IF(AND(T186="Yes",S186&gt;=2,O186&gt;N186),"ALD (Confirmed)",
IF(AND(T186="No",S186&gt;=2),"ALD (Probable)",
IF(AND(G186&gt;=25,OR(T186="No",AND(T186="Yes",S186&lt;1))),"NAFLD",
IF(AND(N186&gt;O186,N186&gt;40,S186&lt;1),"NAFLD",
IF(AND(T186="Yes",S186&lt;1,G186&gt;=25,N186&gt;O186),"NAFLD",
IF(OR(P186&gt;1.2,Q186&gt;0.3),"Hyperbilirubinemia",
"Others"))))))))</f>
        <v>NAFLD</v>
      </c>
      <c r="AJ186" s="5">
        <v>34</v>
      </c>
      <c r="AK186" s="5" t="s">
        <v>35</v>
      </c>
    </row>
    <row r="187" spans="1:37" ht="43.2" x14ac:dyDescent="0.3">
      <c r="A187" s="5">
        <v>193</v>
      </c>
      <c r="B187" s="5" t="s">
        <v>39</v>
      </c>
      <c r="C187" s="5">
        <v>27</v>
      </c>
      <c r="D187" s="2">
        <v>5</v>
      </c>
      <c r="E187" s="5">
        <v>165</v>
      </c>
      <c r="F187" s="5">
        <v>62</v>
      </c>
      <c r="G187" s="6">
        <v>22.773186409550046</v>
      </c>
      <c r="H187" s="9" t="s">
        <v>33</v>
      </c>
      <c r="I187" s="2">
        <v>30</v>
      </c>
      <c r="J187" s="5" t="s">
        <v>44</v>
      </c>
      <c r="K187" s="5" t="s">
        <v>44</v>
      </c>
      <c r="L187" s="5" t="s">
        <v>44</v>
      </c>
      <c r="M187" s="5" t="s">
        <v>44</v>
      </c>
      <c r="N187" s="5">
        <v>44.9</v>
      </c>
      <c r="O187" s="5">
        <v>150</v>
      </c>
      <c r="P187" s="5">
        <v>1.56</v>
      </c>
      <c r="Q187" s="5">
        <v>0.23</v>
      </c>
      <c r="R187" s="5">
        <v>1.33</v>
      </c>
      <c r="S187" s="8">
        <v>3.3407572383073498</v>
      </c>
      <c r="T187" s="5" t="s">
        <v>44</v>
      </c>
      <c r="U187" s="5"/>
      <c r="V187" s="5"/>
      <c r="W187" s="5"/>
      <c r="X187" s="5"/>
      <c r="Y187" s="5" t="s">
        <v>44</v>
      </c>
      <c r="Z187" s="5"/>
      <c r="AA187" s="5"/>
      <c r="AB187" s="9" t="s">
        <v>44</v>
      </c>
      <c r="AC187" s="2" t="s">
        <v>47</v>
      </c>
      <c r="AD187" s="2">
        <v>0</v>
      </c>
      <c r="AE187" s="2" t="s">
        <v>49</v>
      </c>
      <c r="AF187" s="2" t="str">
        <f t="shared" si="2"/>
        <v>Abnormal</v>
      </c>
      <c r="AG187" s="5">
        <v>1</v>
      </c>
      <c r="AH187" s="5" t="str">
        <f>IF(AG187=0,"Normal",
IF(AND(T187="Yes",S187&gt;=2),"ALD",
IF(AND(T187="Yes",S187&gt;=2,O187&gt;N187),"ALD",
IF(AND(T187="No",S187&gt;=2),"ALD",
IF(AND(G187&gt;=25,OR(T187="No",AND(T187="Yes",S187&lt;1))),"NAFLD",
IF(AND(N187&gt;O187,N187&gt;40,S187&lt;1),"NAFLD",
IF(AND(T187="Yes",S187&lt;1,G187&gt;=25,N187&gt;O187),"NAFLD",
IF(OR(P187&gt;1.2,Q187&gt;0.3),"Hyperbilirubinemia",
"Others"))))))))</f>
        <v>ALD</v>
      </c>
      <c r="AI187" s="5" t="str">
        <f>IF(AG187=0,"Normal",
IF(AND(T187="Yes",S187&gt;=2),"ALD (Confirmed)",
IF(AND(T187="Yes",S187&gt;=2,O187&gt;N187),"ALD (Confirmed)",
IF(AND(T187="No",S187&gt;=2),"ALD (Probable)",
IF(AND(G187&gt;=25,OR(T187="No",AND(T187="Yes",S187&lt;1))),"NAFLD",
IF(AND(N187&gt;O187,N187&gt;40,S187&lt;1),"NAFLD",
IF(AND(T187="Yes",S187&lt;1,G187&gt;=25,N187&gt;O187),"NAFLD",
IF(OR(P187&gt;1.2,Q187&gt;0.3),"Hyperbilirubinemia",
"Others"))))))))</f>
        <v>ALD (Probable)</v>
      </c>
      <c r="AJ187" s="5">
        <v>18</v>
      </c>
      <c r="AK187" s="5" t="s">
        <v>34</v>
      </c>
    </row>
    <row r="188" spans="1:37" ht="28.8" x14ac:dyDescent="0.3">
      <c r="A188" s="5">
        <v>194</v>
      </c>
      <c r="B188" s="5" t="s">
        <v>39</v>
      </c>
      <c r="C188" s="5">
        <v>35</v>
      </c>
      <c r="D188" s="2">
        <v>10</v>
      </c>
      <c r="E188" s="5">
        <v>182</v>
      </c>
      <c r="F188" s="5">
        <v>95</v>
      </c>
      <c r="G188" s="6">
        <v>28.680111097693512</v>
      </c>
      <c r="H188" s="9" t="s">
        <v>42</v>
      </c>
      <c r="I188" s="2">
        <v>36</v>
      </c>
      <c r="J188" s="5" t="s">
        <v>45</v>
      </c>
      <c r="K188" s="5" t="s">
        <v>44</v>
      </c>
      <c r="L188" s="5" t="s">
        <v>44</v>
      </c>
      <c r="M188" s="5" t="s">
        <v>44</v>
      </c>
      <c r="N188" s="5">
        <v>27.8</v>
      </c>
      <c r="O188" s="5">
        <v>55.5</v>
      </c>
      <c r="P188" s="5">
        <v>1.4</v>
      </c>
      <c r="Q188" s="5">
        <v>0.18</v>
      </c>
      <c r="R188" s="5">
        <v>1.22</v>
      </c>
      <c r="S188" s="8">
        <v>1.9964028776978417</v>
      </c>
      <c r="T188" s="5" t="s">
        <v>44</v>
      </c>
      <c r="U188" s="5"/>
      <c r="V188" s="5"/>
      <c r="W188" s="5"/>
      <c r="X188" s="5"/>
      <c r="Y188" s="5" t="s">
        <v>44</v>
      </c>
      <c r="Z188" s="5"/>
      <c r="AA188" s="5"/>
      <c r="AB188" s="9" t="s">
        <v>44</v>
      </c>
      <c r="AC188" s="2" t="s">
        <v>47</v>
      </c>
      <c r="AD188" s="2">
        <v>0</v>
      </c>
      <c r="AE188" s="2" t="s">
        <v>49</v>
      </c>
      <c r="AF188" s="2" t="str">
        <f t="shared" si="2"/>
        <v>Abnormal</v>
      </c>
      <c r="AG188" s="5">
        <v>1</v>
      </c>
      <c r="AH188" s="5" t="str">
        <f>IF(AG188=0,"Normal",
IF(AND(T188="Yes",S188&gt;=2),"ALD",
IF(AND(T188="Yes",S188&gt;=2,O188&gt;N188),"ALD",
IF(AND(T188="No",S188&gt;=2),"ALD",
IF(AND(G188&gt;=25,OR(T188="No",AND(T188="Yes",S188&lt;1))),"NAFLD",
IF(AND(N188&gt;O188,N188&gt;40,S188&lt;1),"NAFLD",
IF(AND(T188="Yes",S188&lt;1,G188&gt;=25,N188&gt;O188),"NAFLD",
IF(OR(P188&gt;1.2,Q188&gt;0.3),"Hyperbilirubinemia",
"Others"))))))))</f>
        <v>NAFLD</v>
      </c>
      <c r="AI188" s="5" t="str">
        <f>IF(AG188=0,"Normal",
IF(AND(T188="Yes",S188&gt;=2),"ALD (Confirmed)",
IF(AND(T188="Yes",S188&gt;=2,O188&gt;N188),"ALD (Confirmed)",
IF(AND(T188="No",S188&gt;=2),"ALD (Probable)",
IF(AND(G188&gt;=25,OR(T188="No",AND(T188="Yes",S188&lt;1))),"NAFLD",
IF(AND(N188&gt;O188,N188&gt;40,S188&lt;1),"NAFLD",
IF(AND(T188="Yes",S188&lt;1,G188&gt;=25,N188&gt;O188),"NAFLD",
IF(OR(P188&gt;1.2,Q188&gt;0.3),"Hyperbilirubinemia",
"Others"))))))))</f>
        <v>NAFLD</v>
      </c>
      <c r="AJ188" s="5">
        <v>24</v>
      </c>
      <c r="AK188" s="5" t="s">
        <v>35</v>
      </c>
    </row>
    <row r="189" spans="1:37" ht="43.2" x14ac:dyDescent="0.3">
      <c r="A189" s="5">
        <v>195</v>
      </c>
      <c r="B189" s="5" t="s">
        <v>39</v>
      </c>
      <c r="C189" s="5">
        <v>30</v>
      </c>
      <c r="D189" s="2">
        <v>6</v>
      </c>
      <c r="E189" s="5">
        <v>178</v>
      </c>
      <c r="F189" s="5">
        <v>82</v>
      </c>
      <c r="G189" s="6">
        <v>25.880570635020828</v>
      </c>
      <c r="H189" s="9" t="s">
        <v>42</v>
      </c>
      <c r="I189" s="2">
        <v>38</v>
      </c>
      <c r="J189" s="5" t="s">
        <v>44</v>
      </c>
      <c r="K189" s="5" t="s">
        <v>44</v>
      </c>
      <c r="L189" s="5" t="s">
        <v>44</v>
      </c>
      <c r="M189" s="5" t="s">
        <v>44</v>
      </c>
      <c r="N189" s="5">
        <v>31</v>
      </c>
      <c r="O189" s="5">
        <v>35.1</v>
      </c>
      <c r="P189" s="5">
        <v>0.79</v>
      </c>
      <c r="Q189" s="5">
        <v>0.18</v>
      </c>
      <c r="R189" s="5">
        <v>0.61</v>
      </c>
      <c r="S189" s="8">
        <v>1.1322580645161291</v>
      </c>
      <c r="T189" s="5" t="s">
        <v>45</v>
      </c>
      <c r="U189" s="5" t="s">
        <v>57</v>
      </c>
      <c r="V189" s="5" t="s">
        <v>61</v>
      </c>
      <c r="W189" s="5" t="s">
        <v>65</v>
      </c>
      <c r="X189" s="5" t="s">
        <v>67</v>
      </c>
      <c r="Y189" s="5" t="s">
        <v>44</v>
      </c>
      <c r="Z189" s="5"/>
      <c r="AA189" s="5"/>
      <c r="AB189" s="9" t="s">
        <v>44</v>
      </c>
      <c r="AC189" s="2" t="s">
        <v>46</v>
      </c>
      <c r="AD189" s="2">
        <v>0</v>
      </c>
      <c r="AE189" s="2" t="s">
        <v>52</v>
      </c>
      <c r="AF189" s="2" t="str">
        <f t="shared" si="2"/>
        <v>Normal</v>
      </c>
      <c r="AG189" s="5">
        <v>0</v>
      </c>
      <c r="AH189" s="5" t="str">
        <f>IF(AG189=0,"Normal",
IF(AND(T189="Yes",S189&gt;=2),"ALD",
IF(AND(T189="Yes",S189&gt;=2,O189&gt;N189),"ALD",
IF(AND(T189="No",S189&gt;=2),"ALD",
IF(AND(G189&gt;=25,OR(T189="No",AND(T189="Yes",S189&lt;1))),"NAFLD",
IF(AND(N189&gt;O189,N189&gt;40,S189&lt;1),"NAFLD",
IF(AND(T189="Yes",S189&lt;1,G189&gt;=25,N189&gt;O189),"NAFLD",
IF(OR(P189&gt;1.2,Q189&gt;0.3),"Hyperbilirubinemia",
"Others"))))))))</f>
        <v>Normal</v>
      </c>
      <c r="AI189" s="5" t="str">
        <f>IF(AG189=0,"Normal",
IF(AND(T189="Yes",S189&gt;=2),"ALD (Confirmed)",
IF(AND(T189="Yes",S189&gt;=2,O189&gt;N189),"ALD (Confirmed)",
IF(AND(T189="No",S189&gt;=2),"ALD (Probable)",
IF(AND(G189&gt;=25,OR(T189="No",AND(T189="Yes",S189&lt;1))),"NAFLD",
IF(AND(N189&gt;O189,N189&gt;40,S189&lt;1),"NAFLD",
IF(AND(T189="Yes",S189&lt;1,G189&gt;=25,N189&gt;O189),"NAFLD",
IF(OR(P189&gt;1.2,Q189&gt;0.3),"Hyperbilirubinemia",
"Others"))))))))</f>
        <v>Normal</v>
      </c>
      <c r="AJ189" s="5">
        <v>19</v>
      </c>
      <c r="AK189" s="5" t="s">
        <v>34</v>
      </c>
    </row>
    <row r="190" spans="1:37" ht="43.2" x14ac:dyDescent="0.3">
      <c r="A190" s="5">
        <v>196</v>
      </c>
      <c r="B190" s="5" t="s">
        <v>39</v>
      </c>
      <c r="C190" s="5">
        <v>35</v>
      </c>
      <c r="D190" s="2">
        <v>10</v>
      </c>
      <c r="E190" s="5">
        <v>165</v>
      </c>
      <c r="F190" s="5">
        <v>60</v>
      </c>
      <c r="G190" s="6">
        <v>22.038567493112946</v>
      </c>
      <c r="H190" s="9" t="s">
        <v>33</v>
      </c>
      <c r="I190" s="2">
        <v>30</v>
      </c>
      <c r="J190" s="5" t="s">
        <v>44</v>
      </c>
      <c r="K190" s="5" t="s">
        <v>44</v>
      </c>
      <c r="L190" s="5" t="s">
        <v>44</v>
      </c>
      <c r="M190" s="5" t="s">
        <v>44</v>
      </c>
      <c r="N190" s="5">
        <v>23.8</v>
      </c>
      <c r="O190" s="5">
        <v>142.56</v>
      </c>
      <c r="P190" s="5">
        <v>0.57999999999999996</v>
      </c>
      <c r="Q190" s="5">
        <v>0.08</v>
      </c>
      <c r="R190" s="5">
        <v>0.5</v>
      </c>
      <c r="S190" s="8">
        <v>5.9899159663865547</v>
      </c>
      <c r="T190" s="5" t="s">
        <v>44</v>
      </c>
      <c r="U190" s="5"/>
      <c r="V190" s="5"/>
      <c r="W190" s="5"/>
      <c r="X190" s="5"/>
      <c r="Y190" s="5" t="s">
        <v>44</v>
      </c>
      <c r="Z190" s="5"/>
      <c r="AA190" s="5"/>
      <c r="AB190" s="9" t="s">
        <v>44</v>
      </c>
      <c r="AC190" s="2" t="s">
        <v>46</v>
      </c>
      <c r="AD190" s="2">
        <v>0</v>
      </c>
      <c r="AE190" s="2" t="s">
        <v>52</v>
      </c>
      <c r="AF190" s="2" t="str">
        <f t="shared" si="2"/>
        <v>Abnormal</v>
      </c>
      <c r="AG190" s="5">
        <v>1</v>
      </c>
      <c r="AH190" s="5" t="str">
        <f>IF(AG190=0,"Normal",
IF(AND(T190="Yes",S190&gt;=2),"ALD",
IF(AND(T190="Yes",S190&gt;=2,O190&gt;N190),"ALD",
IF(AND(T190="No",S190&gt;=2),"ALD",
IF(AND(G190&gt;=25,OR(T190="No",AND(T190="Yes",S190&lt;1))),"NAFLD",
IF(AND(N190&gt;O190,N190&gt;40,S190&lt;1),"NAFLD",
IF(AND(T190="Yes",S190&lt;1,G190&gt;=25,N190&gt;O190),"NAFLD",
IF(OR(P190&gt;1.2,Q190&gt;0.3),"Hyperbilirubinemia",
"Others"))))))))</f>
        <v>ALD</v>
      </c>
      <c r="AI190" s="5" t="str">
        <f>IF(AG190=0,"Normal",
IF(AND(T190="Yes",S190&gt;=2),"ALD (Confirmed)",
IF(AND(T190="Yes",S190&gt;=2,O190&gt;N190),"ALD (Confirmed)",
IF(AND(T190="No",S190&gt;=2),"ALD (Probable)",
IF(AND(G190&gt;=25,OR(T190="No",AND(T190="Yes",S190&lt;1))),"NAFLD",
IF(AND(N190&gt;O190,N190&gt;40,S190&lt;1),"NAFLD",
IF(AND(T190="Yes",S190&lt;1,G190&gt;=25,N190&gt;O190),"NAFLD",
IF(OR(P190&gt;1.2,Q190&gt;0.3),"Hyperbilirubinemia",
"Others"))))))))</f>
        <v>ALD (Probable)</v>
      </c>
      <c r="AJ190" s="5">
        <v>16</v>
      </c>
      <c r="AK190" s="5" t="s">
        <v>34</v>
      </c>
    </row>
    <row r="191" spans="1:37" ht="43.2" x14ac:dyDescent="0.3">
      <c r="A191" s="5">
        <v>197</v>
      </c>
      <c r="B191" s="5" t="s">
        <v>39</v>
      </c>
      <c r="C191" s="5">
        <v>50</v>
      </c>
      <c r="D191" s="2">
        <v>21</v>
      </c>
      <c r="E191" s="5">
        <v>168</v>
      </c>
      <c r="F191" s="5">
        <v>62</v>
      </c>
      <c r="G191" s="6">
        <v>21.967120181405896</v>
      </c>
      <c r="H191" s="9" t="s">
        <v>33</v>
      </c>
      <c r="I191" s="2">
        <v>34</v>
      </c>
      <c r="J191" s="5" t="s">
        <v>44</v>
      </c>
      <c r="K191" s="5" t="s">
        <v>44</v>
      </c>
      <c r="L191" s="5" t="s">
        <v>44</v>
      </c>
      <c r="M191" s="5" t="s">
        <v>44</v>
      </c>
      <c r="N191" s="5">
        <v>27</v>
      </c>
      <c r="O191" s="5">
        <v>62.3</v>
      </c>
      <c r="P191" s="5">
        <v>0.48</v>
      </c>
      <c r="Q191" s="5">
        <v>0.06</v>
      </c>
      <c r="R191" s="5">
        <v>0.42</v>
      </c>
      <c r="S191" s="8">
        <v>2.3074074074074074</v>
      </c>
      <c r="T191" s="5" t="s">
        <v>44</v>
      </c>
      <c r="U191" s="5"/>
      <c r="V191" s="5"/>
      <c r="W191" s="5"/>
      <c r="X191" s="5"/>
      <c r="Y191" s="5" t="s">
        <v>44</v>
      </c>
      <c r="Z191" s="5"/>
      <c r="AA191" s="5"/>
      <c r="AB191" s="9" t="s">
        <v>44</v>
      </c>
      <c r="AC191" s="2" t="s">
        <v>46</v>
      </c>
      <c r="AD191" s="2">
        <v>0</v>
      </c>
      <c r="AE191" s="2" t="s">
        <v>49</v>
      </c>
      <c r="AF191" s="2" t="str">
        <f t="shared" si="2"/>
        <v>Abnormal</v>
      </c>
      <c r="AG191" s="5">
        <v>1</v>
      </c>
      <c r="AH191" s="5" t="str">
        <f>IF(AG191=0,"Normal",
IF(AND(T191="Yes",S191&gt;=2),"ALD",
IF(AND(T191="Yes",S191&gt;=2,O191&gt;N191),"ALD",
IF(AND(T191="No",S191&gt;=2),"ALD",
IF(AND(G191&gt;=25,OR(T191="No",AND(T191="Yes",S191&lt;1))),"NAFLD",
IF(AND(N191&gt;O191,N191&gt;40,S191&lt;1),"NAFLD",
IF(AND(T191="Yes",S191&lt;1,G191&gt;=25,N191&gt;O191),"NAFLD",
IF(OR(P191&gt;1.2,Q191&gt;0.3),"Hyperbilirubinemia",
"Others"))))))))</f>
        <v>ALD</v>
      </c>
      <c r="AI191" s="5" t="str">
        <f>IF(AG191=0,"Normal",
IF(AND(T191="Yes",S191&gt;=2),"ALD (Confirmed)",
IF(AND(T191="Yes",S191&gt;=2,O191&gt;N191),"ALD (Confirmed)",
IF(AND(T191="No",S191&gt;=2),"ALD (Probable)",
IF(AND(G191&gt;=25,OR(T191="No",AND(T191="Yes",S191&lt;1))),"NAFLD",
IF(AND(N191&gt;O191,N191&gt;40,S191&lt;1),"NAFLD",
IF(AND(T191="Yes",S191&lt;1,G191&gt;=25,N191&gt;O191),"NAFLD",
IF(OR(P191&gt;1.2,Q191&gt;0.3),"Hyperbilirubinemia",
"Others"))))))))</f>
        <v>ALD (Probable)</v>
      </c>
      <c r="AJ191" s="5">
        <v>15</v>
      </c>
      <c r="AK191" s="5" t="s">
        <v>34</v>
      </c>
    </row>
    <row r="192" spans="1:37" ht="28.8" x14ac:dyDescent="0.3">
      <c r="A192" s="5">
        <v>198</v>
      </c>
      <c r="B192" s="5" t="s">
        <v>39</v>
      </c>
      <c r="C192" s="5">
        <v>39</v>
      </c>
      <c r="D192" s="2">
        <v>16</v>
      </c>
      <c r="E192" s="5">
        <v>172</v>
      </c>
      <c r="F192" s="5">
        <v>63</v>
      </c>
      <c r="G192" s="6">
        <v>21.295294753921038</v>
      </c>
      <c r="H192" s="9" t="s">
        <v>33</v>
      </c>
      <c r="I192" s="2">
        <v>32</v>
      </c>
      <c r="J192" s="5" t="s">
        <v>44</v>
      </c>
      <c r="K192" s="5" t="s">
        <v>44</v>
      </c>
      <c r="L192" s="5" t="s">
        <v>44</v>
      </c>
      <c r="M192" s="5" t="s">
        <v>44</v>
      </c>
      <c r="N192" s="5">
        <v>48.4</v>
      </c>
      <c r="O192" s="5">
        <v>37.200000000000003</v>
      </c>
      <c r="P192" s="5">
        <v>0.52</v>
      </c>
      <c r="Q192" s="5">
        <v>0.04</v>
      </c>
      <c r="R192" s="5">
        <v>0.48</v>
      </c>
      <c r="S192" s="8">
        <v>0.76859504132231415</v>
      </c>
      <c r="T192" s="5" t="s">
        <v>44</v>
      </c>
      <c r="U192" s="5"/>
      <c r="V192" s="5"/>
      <c r="W192" s="5"/>
      <c r="X192" s="5"/>
      <c r="Y192" s="5" t="s">
        <v>44</v>
      </c>
      <c r="Z192" s="5"/>
      <c r="AA192" s="5"/>
      <c r="AB192" s="9" t="s">
        <v>44</v>
      </c>
      <c r="AC192" s="2" t="s">
        <v>47</v>
      </c>
      <c r="AD192" s="2">
        <v>0</v>
      </c>
      <c r="AE192" s="2" t="s">
        <v>52</v>
      </c>
      <c r="AF192" s="2" t="str">
        <f t="shared" si="2"/>
        <v>Normal</v>
      </c>
      <c r="AG192" s="5">
        <v>0</v>
      </c>
      <c r="AH192" s="5" t="str">
        <f>IF(AG192=0,"Normal",
IF(AND(T192="Yes",S192&gt;=2),"ALD",
IF(AND(T192="Yes",S192&gt;=2,O192&gt;N192),"ALD",
IF(AND(T192="No",S192&gt;=2),"ALD",
IF(AND(G192&gt;=25,OR(T192="No",AND(T192="Yes",S192&lt;1))),"NAFLD",
IF(AND(N192&gt;O192,N192&gt;40,S192&lt;1),"NAFLD",
IF(AND(T192="Yes",S192&lt;1,G192&gt;=25,N192&gt;O192),"NAFLD",
IF(OR(P192&gt;1.2,Q192&gt;0.3),"Hyperbilirubinemia",
"Others"))))))))</f>
        <v>Normal</v>
      </c>
      <c r="AI192" s="5" t="str">
        <f>IF(AG192=0,"Normal",
IF(AND(T192="Yes",S192&gt;=2),"ALD (Confirmed)",
IF(AND(T192="Yes",S192&gt;=2,O192&gt;N192),"ALD (Confirmed)",
IF(AND(T192="No",S192&gt;=2),"ALD (Probable)",
IF(AND(G192&gt;=25,OR(T192="No",AND(T192="Yes",S192&lt;1))),"NAFLD",
IF(AND(N192&gt;O192,N192&gt;40,S192&lt;1),"NAFLD",
IF(AND(T192="Yes",S192&lt;1,G192&gt;=25,N192&gt;O192),"NAFLD",
IF(OR(P192&gt;1.2,Q192&gt;0.3),"Hyperbilirubinemia",
"Others"))))))))</f>
        <v>Normal</v>
      </c>
      <c r="AJ192" s="5">
        <v>8</v>
      </c>
      <c r="AK192" s="5" t="s">
        <v>34</v>
      </c>
    </row>
    <row r="193" spans="1:37" ht="43.2" x14ac:dyDescent="0.3">
      <c r="A193" s="5">
        <v>199</v>
      </c>
      <c r="B193" s="5" t="s">
        <v>39</v>
      </c>
      <c r="C193" s="5">
        <v>38</v>
      </c>
      <c r="D193" s="2">
        <v>14</v>
      </c>
      <c r="E193" s="5">
        <v>168</v>
      </c>
      <c r="F193" s="5">
        <v>77</v>
      </c>
      <c r="G193" s="6">
        <v>27.281746031746032</v>
      </c>
      <c r="H193" s="9" t="s">
        <v>42</v>
      </c>
      <c r="I193" s="2">
        <v>34</v>
      </c>
      <c r="J193" s="5" t="s">
        <v>44</v>
      </c>
      <c r="K193" s="5" t="s">
        <v>44</v>
      </c>
      <c r="L193" s="5" t="s">
        <v>44</v>
      </c>
      <c r="M193" s="5" t="s">
        <v>44</v>
      </c>
      <c r="N193" s="5">
        <v>67.099999999999994</v>
      </c>
      <c r="O193" s="5">
        <v>38.9</v>
      </c>
      <c r="P193" s="5">
        <v>1.22</v>
      </c>
      <c r="Q193" s="5">
        <v>0.15</v>
      </c>
      <c r="R193" s="5">
        <v>1.07</v>
      </c>
      <c r="S193" s="8">
        <v>0.57973174366616997</v>
      </c>
      <c r="T193" s="5" t="s">
        <v>45</v>
      </c>
      <c r="U193" s="5" t="s">
        <v>55</v>
      </c>
      <c r="V193" s="5" t="s">
        <v>60</v>
      </c>
      <c r="W193" s="5" t="s">
        <v>65</v>
      </c>
      <c r="X193" s="5" t="s">
        <v>68</v>
      </c>
      <c r="Y193" s="5" t="s">
        <v>44</v>
      </c>
      <c r="Z193" s="5"/>
      <c r="AA193" s="5"/>
      <c r="AB193" s="9" t="s">
        <v>44</v>
      </c>
      <c r="AC193" s="2" t="s">
        <v>46</v>
      </c>
      <c r="AD193" s="2">
        <v>0</v>
      </c>
      <c r="AE193" s="2" t="s">
        <v>52</v>
      </c>
      <c r="AF193" s="2" t="str">
        <f t="shared" si="2"/>
        <v>Abnormal</v>
      </c>
      <c r="AG193" s="5">
        <v>1</v>
      </c>
      <c r="AH193" s="5" t="str">
        <f>IF(AG193=0,"Normal",
IF(AND(T193="Yes",S193&gt;=2),"ALD",
IF(AND(T193="Yes",S193&gt;=2,O193&gt;N193),"ALD",
IF(AND(T193="No",S193&gt;=2),"ALD",
IF(AND(G193&gt;=25,OR(T193="No",AND(T193="Yes",S193&lt;1))),"NAFLD",
IF(AND(N193&gt;O193,N193&gt;40,S193&lt;1),"NAFLD",
IF(AND(T193="Yes",S193&lt;1,G193&gt;=25,N193&gt;O193),"NAFLD",
IF(OR(P193&gt;1.2,Q193&gt;0.3),"Hyperbilirubinemia",
"Others"))))))))</f>
        <v>NAFLD</v>
      </c>
      <c r="AI193" s="5" t="str">
        <f>IF(AG193=0,"Normal",
IF(AND(T193="Yes",S193&gt;=2),"ALD (Confirmed)",
IF(AND(T193="Yes",S193&gt;=2,O193&gt;N193),"ALD (Confirmed)",
IF(AND(T193="No",S193&gt;=2),"ALD (Probable)",
IF(AND(G193&gt;=25,OR(T193="No",AND(T193="Yes",S193&lt;1))),"NAFLD",
IF(AND(N193&gt;O193,N193&gt;40,S193&lt;1),"NAFLD",
IF(AND(T193="Yes",S193&lt;1,G193&gt;=25,N193&gt;O193),"NAFLD",
IF(OR(P193&gt;1.2,Q193&gt;0.3),"Hyperbilirubinemia",
"Others"))))))))</f>
        <v>NAFLD</v>
      </c>
      <c r="AJ193" s="5">
        <v>33</v>
      </c>
      <c r="AK193" s="5" t="s">
        <v>35</v>
      </c>
    </row>
    <row r="194" spans="1:37" ht="43.2" x14ac:dyDescent="0.3">
      <c r="A194" s="5">
        <v>200</v>
      </c>
      <c r="B194" s="5" t="s">
        <v>39</v>
      </c>
      <c r="C194" s="5">
        <v>45</v>
      </c>
      <c r="D194" s="2">
        <v>17</v>
      </c>
      <c r="E194" s="5">
        <v>180</v>
      </c>
      <c r="F194" s="5">
        <v>80</v>
      </c>
      <c r="G194" s="6">
        <v>24.691358024691358</v>
      </c>
      <c r="H194" s="9" t="s">
        <v>33</v>
      </c>
      <c r="I194" s="2">
        <v>34</v>
      </c>
      <c r="J194" s="5" t="s">
        <v>44</v>
      </c>
      <c r="K194" s="5" t="s">
        <v>44</v>
      </c>
      <c r="L194" s="5" t="s">
        <v>44</v>
      </c>
      <c r="M194" s="5" t="s">
        <v>44</v>
      </c>
      <c r="N194" s="5">
        <v>40.22</v>
      </c>
      <c r="O194" s="5">
        <v>128.28</v>
      </c>
      <c r="P194" s="5">
        <v>0.33</v>
      </c>
      <c r="Q194" s="5">
        <v>0.06</v>
      </c>
      <c r="R194" s="5">
        <v>0.27</v>
      </c>
      <c r="S194" s="8">
        <v>3.1894579811039283</v>
      </c>
      <c r="T194" s="5" t="s">
        <v>45</v>
      </c>
      <c r="U194" s="5" t="s">
        <v>56</v>
      </c>
      <c r="V194" s="5" t="s">
        <v>59</v>
      </c>
      <c r="W194" s="5" t="s">
        <v>65</v>
      </c>
      <c r="X194" s="5" t="s">
        <v>68</v>
      </c>
      <c r="Y194" s="5" t="s">
        <v>44</v>
      </c>
      <c r="Z194" s="5"/>
      <c r="AA194" s="5"/>
      <c r="AB194" s="9" t="s">
        <v>44</v>
      </c>
      <c r="AC194" s="2" t="s">
        <v>47</v>
      </c>
      <c r="AD194" s="2">
        <v>0</v>
      </c>
      <c r="AE194" s="2" t="s">
        <v>49</v>
      </c>
      <c r="AF194" s="2" t="str">
        <f t="shared" si="2"/>
        <v>Abnormal</v>
      </c>
      <c r="AG194" s="5">
        <v>1</v>
      </c>
      <c r="AH194" s="5" t="str">
        <f>IF(AG194=0,"Normal",
IF(AND(T194="Yes",S194&gt;=2),"ALD",
IF(AND(T194="Yes",S194&gt;=2,O194&gt;N194),"ALD",
IF(AND(T194="No",S194&gt;=2),"ALD",
IF(AND(G194&gt;=25,OR(T194="No",AND(T194="Yes",S194&lt;1))),"NAFLD",
IF(AND(N194&gt;O194,N194&gt;40,S194&lt;1),"NAFLD",
IF(AND(T194="Yes",S194&lt;1,G194&gt;=25,N194&gt;O194),"NAFLD",
IF(OR(P194&gt;1.2,Q194&gt;0.3),"Hyperbilirubinemia",
"Others"))))))))</f>
        <v>ALD</v>
      </c>
      <c r="AI194" s="5" t="str">
        <f>IF(AG194=0,"Normal",
IF(AND(T194="Yes",S194&gt;=2),"ALD (Confirmed)",
IF(AND(T194="Yes",S194&gt;=2,O194&gt;N194),"ALD (Confirmed)",
IF(AND(T194="No",S194&gt;=2),"ALD (Probable)",
IF(AND(G194&gt;=25,OR(T194="No",AND(T194="Yes",S194&lt;1))),"NAFLD",
IF(AND(N194&gt;O194,N194&gt;40,S194&lt;1),"NAFLD",
IF(AND(T194="Yes",S194&lt;1,G194&gt;=25,N194&gt;O194),"NAFLD",
IF(OR(P194&gt;1.2,Q194&gt;0.3),"Hyperbilirubinemia",
"Others"))))))))</f>
        <v>ALD (Confirmed)</v>
      </c>
      <c r="AJ194" s="5">
        <v>31</v>
      </c>
      <c r="AK194" s="5" t="s">
        <v>35</v>
      </c>
    </row>
    <row r="195" spans="1:37" ht="43.2" x14ac:dyDescent="0.3">
      <c r="A195" s="5">
        <v>201</v>
      </c>
      <c r="B195" s="5" t="s">
        <v>39</v>
      </c>
      <c r="C195" s="5">
        <v>36</v>
      </c>
      <c r="D195" s="2">
        <v>10</v>
      </c>
      <c r="E195" s="5">
        <v>160</v>
      </c>
      <c r="F195" s="5">
        <v>63</v>
      </c>
      <c r="G195" s="6">
        <v>24.609375</v>
      </c>
      <c r="H195" s="9" t="s">
        <v>33</v>
      </c>
      <c r="I195" s="2">
        <v>32</v>
      </c>
      <c r="J195" s="5" t="s">
        <v>44</v>
      </c>
      <c r="K195" s="5" t="s">
        <v>44</v>
      </c>
      <c r="L195" s="5" t="s">
        <v>44</v>
      </c>
      <c r="M195" s="5" t="s">
        <v>44</v>
      </c>
      <c r="N195" s="5">
        <v>35.6</v>
      </c>
      <c r="O195" s="5">
        <v>38.6</v>
      </c>
      <c r="P195" s="5">
        <v>0.68</v>
      </c>
      <c r="Q195" s="5">
        <v>0.04</v>
      </c>
      <c r="R195" s="5">
        <v>0.64</v>
      </c>
      <c r="S195" s="8">
        <v>1.0842696629213484</v>
      </c>
      <c r="T195" s="5" t="s">
        <v>44</v>
      </c>
      <c r="U195" s="5"/>
      <c r="V195" s="5"/>
      <c r="W195" s="5"/>
      <c r="X195" s="5"/>
      <c r="Y195" s="5" t="s">
        <v>44</v>
      </c>
      <c r="Z195" s="5"/>
      <c r="AA195" s="5"/>
      <c r="AB195" s="9" t="s">
        <v>44</v>
      </c>
      <c r="AC195" s="2" t="s">
        <v>46</v>
      </c>
      <c r="AD195" s="2">
        <v>0</v>
      </c>
      <c r="AE195" s="2" t="s">
        <v>52</v>
      </c>
      <c r="AF195" s="2" t="str">
        <f t="shared" ref="AF195:AF258" si="3">IF(AG195=0,"Normal",IF(AG195=1,"Abnormal",""))</f>
        <v>Normal</v>
      </c>
      <c r="AG195" s="5">
        <v>0</v>
      </c>
      <c r="AH195" s="5" t="str">
        <f>IF(AG195=0,"Normal",
IF(AND(T195="Yes",S195&gt;=2),"ALD",
IF(AND(T195="Yes",S195&gt;=2,O195&gt;N195),"ALD",
IF(AND(T195="No",S195&gt;=2),"ALD",
IF(AND(G195&gt;=25,OR(T195="No",AND(T195="Yes",S195&lt;1))),"NAFLD",
IF(AND(N195&gt;O195,N195&gt;40,S195&lt;1),"NAFLD",
IF(AND(T195="Yes",S195&lt;1,G195&gt;=25,N195&gt;O195),"NAFLD",
IF(OR(P195&gt;1.2,Q195&gt;0.3),"Hyperbilirubinemia",
"Others"))))))))</f>
        <v>Normal</v>
      </c>
      <c r="AI195" s="5" t="str">
        <f>IF(AG195=0,"Normal",
IF(AND(T195="Yes",S195&gt;=2),"ALD (Confirmed)",
IF(AND(T195="Yes",S195&gt;=2,O195&gt;N195),"ALD (Confirmed)",
IF(AND(T195="No",S195&gt;=2),"ALD (Probable)",
IF(AND(G195&gt;=25,OR(T195="No",AND(T195="Yes",S195&lt;1))),"NAFLD",
IF(AND(N195&gt;O195,N195&gt;40,S195&lt;1),"NAFLD",
IF(AND(T195="Yes",S195&lt;1,G195&gt;=25,N195&gt;O195),"NAFLD",
IF(OR(P195&gt;1.2,Q195&gt;0.3),"Hyperbilirubinemia",
"Others"))))))))</f>
        <v>Normal</v>
      </c>
      <c r="AJ195" s="5">
        <v>7</v>
      </c>
      <c r="AK195" s="5" t="s">
        <v>34</v>
      </c>
    </row>
    <row r="196" spans="1:37" ht="43.2" x14ac:dyDescent="0.3">
      <c r="A196" s="5">
        <v>202</v>
      </c>
      <c r="B196" s="5" t="s">
        <v>39</v>
      </c>
      <c r="C196" s="5">
        <v>34</v>
      </c>
      <c r="D196" s="2">
        <v>4</v>
      </c>
      <c r="E196" s="5">
        <v>175</v>
      </c>
      <c r="F196" s="5">
        <v>75</v>
      </c>
      <c r="G196" s="6">
        <v>24.489795918367346</v>
      </c>
      <c r="H196" s="9" t="s">
        <v>33</v>
      </c>
      <c r="I196" s="2">
        <v>30</v>
      </c>
      <c r="J196" s="5" t="s">
        <v>44</v>
      </c>
      <c r="K196" s="5" t="s">
        <v>44</v>
      </c>
      <c r="L196" s="5" t="s">
        <v>44</v>
      </c>
      <c r="M196" s="5" t="s">
        <v>44</v>
      </c>
      <c r="N196" s="5">
        <v>34.479999999999997</v>
      </c>
      <c r="O196" s="5">
        <v>33.979999999999997</v>
      </c>
      <c r="P196" s="5">
        <v>0.38</v>
      </c>
      <c r="Q196" s="5">
        <v>0.14000000000000001</v>
      </c>
      <c r="R196" s="5">
        <v>0.24</v>
      </c>
      <c r="S196" s="8">
        <v>0.98549883990719256</v>
      </c>
      <c r="T196" s="5" t="s">
        <v>45</v>
      </c>
      <c r="U196" s="5" t="s">
        <v>56</v>
      </c>
      <c r="V196" s="5" t="s">
        <v>61</v>
      </c>
      <c r="W196" s="5" t="s">
        <v>65</v>
      </c>
      <c r="X196" s="5" t="s">
        <v>68</v>
      </c>
      <c r="Y196" s="5" t="s">
        <v>44</v>
      </c>
      <c r="Z196" s="5"/>
      <c r="AA196" s="5"/>
      <c r="AB196" s="9" t="s">
        <v>44</v>
      </c>
      <c r="AC196" s="2" t="s">
        <v>46</v>
      </c>
      <c r="AD196" s="2">
        <v>0</v>
      </c>
      <c r="AE196" s="2" t="s">
        <v>49</v>
      </c>
      <c r="AF196" s="2" t="str">
        <f t="shared" si="3"/>
        <v>Normal</v>
      </c>
      <c r="AG196" s="5">
        <v>0</v>
      </c>
      <c r="AH196" s="5" t="str">
        <f>IF(AG196=0,"Normal",
IF(AND(T196="Yes",S196&gt;=2),"ALD",
IF(AND(T196="Yes",S196&gt;=2,O196&gt;N196),"ALD",
IF(AND(T196="No",S196&gt;=2),"ALD",
IF(AND(G196&gt;=25,OR(T196="No",AND(T196="Yes",S196&lt;1))),"NAFLD",
IF(AND(N196&gt;O196,N196&gt;40,S196&lt;1),"NAFLD",
IF(AND(T196="Yes",S196&lt;1,G196&gt;=25,N196&gt;O196),"NAFLD",
IF(OR(P196&gt;1.2,Q196&gt;0.3),"Hyperbilirubinemia",
"Others"))))))))</f>
        <v>Normal</v>
      </c>
      <c r="AI196" s="5" t="str">
        <f>IF(AG196=0,"Normal",
IF(AND(T196="Yes",S196&gt;=2),"ALD (Confirmed)",
IF(AND(T196="Yes",S196&gt;=2,O196&gt;N196),"ALD (Confirmed)",
IF(AND(T196="No",S196&gt;=2),"ALD (Probable)",
IF(AND(G196&gt;=25,OR(T196="No",AND(T196="Yes",S196&lt;1))),"NAFLD",
IF(AND(N196&gt;O196,N196&gt;40,S196&lt;1),"NAFLD",
IF(AND(T196="Yes",S196&lt;1,G196&gt;=25,N196&gt;O196),"NAFLD",
IF(OR(P196&gt;1.2,Q196&gt;0.3),"Hyperbilirubinemia",
"Others"))))))))</f>
        <v>Normal</v>
      </c>
      <c r="AJ196" s="5">
        <v>14</v>
      </c>
      <c r="AK196" s="5" t="s">
        <v>34</v>
      </c>
    </row>
    <row r="197" spans="1:37" ht="43.2" x14ac:dyDescent="0.3">
      <c r="A197" s="5">
        <v>203</v>
      </c>
      <c r="B197" s="5" t="s">
        <v>40</v>
      </c>
      <c r="C197" s="5">
        <v>35</v>
      </c>
      <c r="D197" s="2">
        <v>4</v>
      </c>
      <c r="E197" s="5">
        <v>173</v>
      </c>
      <c r="F197" s="5">
        <v>66</v>
      </c>
      <c r="G197" s="6">
        <v>22.052190183434128</v>
      </c>
      <c r="H197" s="9" t="s">
        <v>33</v>
      </c>
      <c r="I197" s="2">
        <v>36</v>
      </c>
      <c r="J197" s="5" t="s">
        <v>44</v>
      </c>
      <c r="K197" s="5" t="s">
        <v>45</v>
      </c>
      <c r="L197" s="5" t="s">
        <v>44</v>
      </c>
      <c r="M197" s="5" t="s">
        <v>45</v>
      </c>
      <c r="N197" s="5">
        <v>19.2</v>
      </c>
      <c r="O197" s="5">
        <v>32.799999999999997</v>
      </c>
      <c r="P197" s="5">
        <v>0.57999999999999996</v>
      </c>
      <c r="Q197" s="5">
        <v>0.21</v>
      </c>
      <c r="R197" s="5">
        <v>0.37</v>
      </c>
      <c r="S197" s="8">
        <v>1.7083333333333333</v>
      </c>
      <c r="T197" s="5" t="s">
        <v>44</v>
      </c>
      <c r="U197" s="5"/>
      <c r="V197" s="5"/>
      <c r="W197" s="5"/>
      <c r="X197" s="5"/>
      <c r="Y197" s="5" t="s">
        <v>44</v>
      </c>
      <c r="Z197" s="5"/>
      <c r="AA197" s="5"/>
      <c r="AB197" s="9" t="s">
        <v>44</v>
      </c>
      <c r="AC197" s="2" t="s">
        <v>46</v>
      </c>
      <c r="AD197" s="2">
        <v>0</v>
      </c>
      <c r="AE197" s="2" t="s">
        <v>49</v>
      </c>
      <c r="AF197" s="2" t="str">
        <f t="shared" si="3"/>
        <v>Normal</v>
      </c>
      <c r="AG197" s="5">
        <v>0</v>
      </c>
      <c r="AH197" s="5" t="str">
        <f>IF(AG197=0,"Normal",
IF(AND(T197="Yes",S197&gt;=2),"ALD",
IF(AND(T197="Yes",S197&gt;=2,O197&gt;N197),"ALD",
IF(AND(T197="No",S197&gt;=2),"ALD",
IF(AND(G197&gt;=25,OR(T197="No",AND(T197="Yes",S197&lt;1))),"NAFLD",
IF(AND(N197&gt;O197,N197&gt;40,S197&lt;1),"NAFLD",
IF(AND(T197="Yes",S197&lt;1,G197&gt;=25,N197&gt;O197),"NAFLD",
IF(OR(P197&gt;1.2,Q197&gt;0.3),"Hyperbilirubinemia",
"Others"))))))))</f>
        <v>Normal</v>
      </c>
      <c r="AI197" s="5" t="str">
        <f>IF(AG197=0,"Normal",
IF(AND(T197="Yes",S197&gt;=2),"ALD (Confirmed)",
IF(AND(T197="Yes",S197&gt;=2,O197&gt;N197),"ALD (Confirmed)",
IF(AND(T197="No",S197&gt;=2),"ALD (Probable)",
IF(AND(G197&gt;=25,OR(T197="No",AND(T197="Yes",S197&lt;1))),"NAFLD",
IF(AND(N197&gt;O197,N197&gt;40,S197&lt;1),"NAFLD",
IF(AND(T197="Yes",S197&lt;1,G197&gt;=25,N197&gt;O197),"NAFLD",
IF(OR(P197&gt;1.2,Q197&gt;0.3),"Hyperbilirubinemia",
"Others"))))))))</f>
        <v>Normal</v>
      </c>
      <c r="AJ197" s="5">
        <v>16</v>
      </c>
      <c r="AK197" s="5" t="s">
        <v>34</v>
      </c>
    </row>
    <row r="198" spans="1:37" ht="43.2" x14ac:dyDescent="0.3">
      <c r="A198" s="5">
        <v>204</v>
      </c>
      <c r="B198" s="5" t="s">
        <v>39</v>
      </c>
      <c r="C198" s="5">
        <v>21</v>
      </c>
      <c r="D198" s="2">
        <v>1</v>
      </c>
      <c r="E198" s="5">
        <v>167</v>
      </c>
      <c r="F198" s="5">
        <v>73</v>
      </c>
      <c r="G198" s="6">
        <v>26.2</v>
      </c>
      <c r="H198" s="9" t="s">
        <v>42</v>
      </c>
      <c r="I198" s="2">
        <v>34</v>
      </c>
      <c r="J198" s="5" t="s">
        <v>44</v>
      </c>
      <c r="K198" s="5" t="s">
        <v>44</v>
      </c>
      <c r="L198" s="5" t="s">
        <v>44</v>
      </c>
      <c r="M198" s="5" t="s">
        <v>44</v>
      </c>
      <c r="N198" s="5">
        <v>27.2</v>
      </c>
      <c r="O198" s="5">
        <v>38.200000000000003</v>
      </c>
      <c r="P198" s="5">
        <v>0.43</v>
      </c>
      <c r="Q198" s="5">
        <v>0.08</v>
      </c>
      <c r="R198" s="5">
        <v>0.35</v>
      </c>
      <c r="S198" s="8">
        <v>1.4044117647058825</v>
      </c>
      <c r="T198" s="5" t="s">
        <v>44</v>
      </c>
      <c r="U198" s="5"/>
      <c r="V198" s="5"/>
      <c r="W198" s="5"/>
      <c r="X198" s="5"/>
      <c r="Y198" s="5" t="s">
        <v>44</v>
      </c>
      <c r="Z198" s="5"/>
      <c r="AA198" s="5"/>
      <c r="AB198" s="9" t="s">
        <v>44</v>
      </c>
      <c r="AC198" s="2" t="s">
        <v>46</v>
      </c>
      <c r="AD198" s="2">
        <v>0</v>
      </c>
      <c r="AE198" s="2" t="s">
        <v>52</v>
      </c>
      <c r="AF198" s="2" t="str">
        <f t="shared" si="3"/>
        <v>Normal</v>
      </c>
      <c r="AG198" s="5">
        <v>0</v>
      </c>
      <c r="AH198" s="5" t="str">
        <f>IF(AG198=0,"Normal",
IF(AND(T198="Yes",S198&gt;=2),"ALD",
IF(AND(T198="Yes",S198&gt;=2,O198&gt;N198),"ALD",
IF(AND(T198="No",S198&gt;=2),"ALD",
IF(AND(G198&gt;=25,OR(T198="No",AND(T198="Yes",S198&lt;1))),"NAFLD",
IF(AND(N198&gt;O198,N198&gt;40,S198&lt;1),"NAFLD",
IF(AND(T198="Yes",S198&lt;1,G198&gt;=25,N198&gt;O198),"NAFLD",
IF(OR(P198&gt;1.2,Q198&gt;0.3),"Hyperbilirubinemia",
"Others"))))))))</f>
        <v>Normal</v>
      </c>
      <c r="AI198" s="5" t="str">
        <f>IF(AG198=0,"Normal",
IF(AND(T198="Yes",S198&gt;=2),"ALD (Confirmed)",
IF(AND(T198="Yes",S198&gt;=2,O198&gt;N198),"ALD (Confirmed)",
IF(AND(T198="No",S198&gt;=2),"ALD (Probable)",
IF(AND(G198&gt;=25,OR(T198="No",AND(T198="Yes",S198&lt;1))),"NAFLD",
IF(AND(N198&gt;O198,N198&gt;40,S198&lt;1),"NAFLD",
IF(AND(T198="Yes",S198&lt;1,G198&gt;=25,N198&gt;O198),"NAFLD",
IF(OR(P198&gt;1.2,Q198&gt;0.3),"Hyperbilirubinemia",
"Others"))))))))</f>
        <v>Normal</v>
      </c>
      <c r="AJ198" s="5">
        <v>10</v>
      </c>
      <c r="AK198" s="5" t="s">
        <v>34</v>
      </c>
    </row>
    <row r="199" spans="1:37" ht="43.2" x14ac:dyDescent="0.3">
      <c r="A199" s="5">
        <v>205</v>
      </c>
      <c r="B199" s="5" t="s">
        <v>39</v>
      </c>
      <c r="C199" s="5">
        <v>49</v>
      </c>
      <c r="D199" s="2">
        <v>20</v>
      </c>
      <c r="E199" s="5">
        <v>173</v>
      </c>
      <c r="F199" s="5">
        <v>86</v>
      </c>
      <c r="G199" s="6">
        <v>28.734672057202044</v>
      </c>
      <c r="H199" s="9" t="s">
        <v>42</v>
      </c>
      <c r="I199" s="2">
        <v>36</v>
      </c>
      <c r="J199" s="5" t="s">
        <v>44</v>
      </c>
      <c r="K199" s="5" t="s">
        <v>44</v>
      </c>
      <c r="L199" s="5" t="s">
        <v>44</v>
      </c>
      <c r="M199" s="5" t="s">
        <v>44</v>
      </c>
      <c r="N199" s="5">
        <v>30.57</v>
      </c>
      <c r="O199" s="5">
        <v>115.3</v>
      </c>
      <c r="P199" s="5">
        <v>1</v>
      </c>
      <c r="Q199" s="5">
        <v>0.08</v>
      </c>
      <c r="R199" s="5">
        <v>0.92</v>
      </c>
      <c r="S199" s="8">
        <v>3.7716715734380108</v>
      </c>
      <c r="T199" s="5" t="s">
        <v>44</v>
      </c>
      <c r="U199" s="5"/>
      <c r="V199" s="5"/>
      <c r="W199" s="5"/>
      <c r="X199" s="5"/>
      <c r="Y199" s="5" t="s">
        <v>44</v>
      </c>
      <c r="Z199" s="5"/>
      <c r="AA199" s="5"/>
      <c r="AB199" s="9" t="s">
        <v>44</v>
      </c>
      <c r="AC199" s="2" t="s">
        <v>47</v>
      </c>
      <c r="AD199" s="2">
        <v>0</v>
      </c>
      <c r="AE199" s="2" t="s">
        <v>52</v>
      </c>
      <c r="AF199" s="2" t="str">
        <f t="shared" si="3"/>
        <v>Abnormal</v>
      </c>
      <c r="AG199" s="5">
        <v>1</v>
      </c>
      <c r="AH199" s="5" t="str">
        <f>IF(AG199=0,"Normal",
IF(AND(T199="Yes",S199&gt;=2),"ALD",
IF(AND(T199="Yes",S199&gt;=2,O199&gt;N199),"ALD",
IF(AND(T199="No",S199&gt;=2),"ALD",
IF(AND(G199&gt;=25,OR(T199="No",AND(T199="Yes",S199&lt;1))),"NAFLD",
IF(AND(N199&gt;O199,N199&gt;40,S199&lt;1),"NAFLD",
IF(AND(T199="Yes",S199&lt;1,G199&gt;=25,N199&gt;O199),"NAFLD",
IF(OR(P199&gt;1.2,Q199&gt;0.3),"Hyperbilirubinemia",
"Others"))))))))</f>
        <v>ALD</v>
      </c>
      <c r="AI199" s="5" t="str">
        <f>IF(AG199=0,"Normal",
IF(AND(T199="Yes",S199&gt;=2),"ALD (Confirmed)",
IF(AND(T199="Yes",S199&gt;=2,O199&gt;N199),"ALD (Confirmed)",
IF(AND(T199="No",S199&gt;=2),"ALD (Probable)",
IF(AND(G199&gt;=25,OR(T199="No",AND(T199="Yes",S199&lt;1))),"NAFLD",
IF(AND(N199&gt;O199,N199&gt;40,S199&lt;1),"NAFLD",
IF(AND(T199="Yes",S199&lt;1,G199&gt;=25,N199&gt;O199),"NAFLD",
IF(OR(P199&gt;1.2,Q199&gt;0.3),"Hyperbilirubinemia",
"Others"))))))))</f>
        <v>ALD (Probable)</v>
      </c>
      <c r="AJ199" s="5">
        <v>27</v>
      </c>
      <c r="AK199" s="5" t="s">
        <v>35</v>
      </c>
    </row>
    <row r="200" spans="1:37" ht="43.2" x14ac:dyDescent="0.3">
      <c r="A200" s="5">
        <v>206</v>
      </c>
      <c r="B200" s="5" t="s">
        <v>39</v>
      </c>
      <c r="C200" s="5">
        <v>51</v>
      </c>
      <c r="D200" s="2">
        <v>24</v>
      </c>
      <c r="E200" s="5">
        <v>177</v>
      </c>
      <c r="F200" s="5">
        <v>83</v>
      </c>
      <c r="G200" s="6">
        <v>26.493025631204315</v>
      </c>
      <c r="H200" s="9" t="s">
        <v>42</v>
      </c>
      <c r="I200" s="2">
        <v>34</v>
      </c>
      <c r="J200" s="5" t="s">
        <v>44</v>
      </c>
      <c r="K200" s="5" t="s">
        <v>44</v>
      </c>
      <c r="L200" s="5" t="s">
        <v>44</v>
      </c>
      <c r="M200" s="5" t="s">
        <v>44</v>
      </c>
      <c r="N200" s="5">
        <v>34.4</v>
      </c>
      <c r="O200" s="5">
        <v>40.1</v>
      </c>
      <c r="P200" s="5">
        <v>1.29</v>
      </c>
      <c r="Q200" s="5">
        <v>0.18</v>
      </c>
      <c r="R200" s="5">
        <v>1.1100000000000001</v>
      </c>
      <c r="S200" s="8">
        <v>1.1656976744186047</v>
      </c>
      <c r="T200" s="5" t="s">
        <v>45</v>
      </c>
      <c r="U200" s="5" t="s">
        <v>56</v>
      </c>
      <c r="V200" s="5" t="s">
        <v>59</v>
      </c>
      <c r="W200" s="5" t="s">
        <v>65</v>
      </c>
      <c r="X200" s="5" t="s">
        <v>68</v>
      </c>
      <c r="Y200" s="5" t="s">
        <v>44</v>
      </c>
      <c r="Z200" s="5"/>
      <c r="AA200" s="5"/>
      <c r="AB200" s="9" t="s">
        <v>44</v>
      </c>
      <c r="AC200" s="2" t="s">
        <v>46</v>
      </c>
      <c r="AD200" s="2">
        <v>0</v>
      </c>
      <c r="AE200" s="2" t="s">
        <v>49</v>
      </c>
      <c r="AF200" s="2" t="str">
        <f t="shared" si="3"/>
        <v>Abnormal</v>
      </c>
      <c r="AG200" s="5">
        <v>1</v>
      </c>
      <c r="AH200" s="5" t="str">
        <f>IF(AG200=0,"Normal",
IF(AND(T200="Yes",S200&gt;=2),"ALD",
IF(AND(T200="Yes",S200&gt;=2,O200&gt;N200),"ALD",
IF(AND(T200="No",S200&gt;=2),"ALD",
IF(AND(G200&gt;=25,OR(T200="No",AND(T200="Yes",S200&lt;1))),"NAFLD",
IF(AND(N200&gt;O200,N200&gt;40,S200&lt;1),"NAFLD",
IF(AND(T200="Yes",S200&lt;1,G200&gt;=25,N200&gt;O200),"NAFLD",
IF(OR(P200&gt;1.2,Q200&gt;0.3),"Hyperbilirubinemia",
"Others"))))))))</f>
        <v>Hyperbilirubinemia</v>
      </c>
      <c r="AI200" s="5" t="str">
        <f>IF(AG200=0,"Normal",
IF(AND(T200="Yes",S200&gt;=2),"ALD (Confirmed)",
IF(AND(T200="Yes",S200&gt;=2,O200&gt;N200),"ALD (Confirmed)",
IF(AND(T200="No",S200&gt;=2),"ALD (Probable)",
IF(AND(G200&gt;=25,OR(T200="No",AND(T200="Yes",S200&lt;1))),"NAFLD",
IF(AND(N200&gt;O200,N200&gt;40,S200&lt;1),"NAFLD",
IF(AND(T200="Yes",S200&lt;1,G200&gt;=25,N200&gt;O200),"NAFLD",
IF(OR(P200&gt;1.2,Q200&gt;0.3),"Hyperbilirubinemia",
"Others"))))))))</f>
        <v>Hyperbilirubinemia</v>
      </c>
      <c r="AJ200" s="5">
        <v>31</v>
      </c>
      <c r="AK200" s="5" t="s">
        <v>35</v>
      </c>
    </row>
    <row r="201" spans="1:37" ht="43.2" x14ac:dyDescent="0.3">
      <c r="A201" s="5">
        <v>207</v>
      </c>
      <c r="B201" s="5" t="s">
        <v>39</v>
      </c>
      <c r="C201" s="5">
        <v>42</v>
      </c>
      <c r="D201" s="2">
        <v>14</v>
      </c>
      <c r="E201" s="5">
        <v>165</v>
      </c>
      <c r="F201" s="5">
        <v>69</v>
      </c>
      <c r="G201" s="6">
        <v>25.344352617079888</v>
      </c>
      <c r="H201" s="9" t="s">
        <v>42</v>
      </c>
      <c r="I201" s="2">
        <v>34</v>
      </c>
      <c r="J201" s="5" t="s">
        <v>44</v>
      </c>
      <c r="K201" s="5" t="s">
        <v>44</v>
      </c>
      <c r="L201" s="5" t="s">
        <v>44</v>
      </c>
      <c r="M201" s="5" t="s">
        <v>44</v>
      </c>
      <c r="N201" s="5">
        <v>19.7</v>
      </c>
      <c r="O201" s="5">
        <v>98.46</v>
      </c>
      <c r="P201" s="5">
        <v>0.82</v>
      </c>
      <c r="Q201" s="5">
        <v>0.08</v>
      </c>
      <c r="R201" s="5">
        <v>0.74</v>
      </c>
      <c r="S201" s="8">
        <v>4.9979695431472084</v>
      </c>
      <c r="T201" s="5" t="s">
        <v>44</v>
      </c>
      <c r="U201" s="5"/>
      <c r="V201" s="5"/>
      <c r="W201" s="5"/>
      <c r="X201" s="5"/>
      <c r="Y201" s="5" t="s">
        <v>44</v>
      </c>
      <c r="Z201" s="5"/>
      <c r="AA201" s="5"/>
      <c r="AB201" s="9" t="s">
        <v>44</v>
      </c>
      <c r="AC201" s="2" t="s">
        <v>46</v>
      </c>
      <c r="AD201" s="2">
        <v>0</v>
      </c>
      <c r="AE201" s="2" t="s">
        <v>52</v>
      </c>
      <c r="AF201" s="2" t="str">
        <f t="shared" si="3"/>
        <v>Abnormal</v>
      </c>
      <c r="AG201" s="5">
        <v>1</v>
      </c>
      <c r="AH201" s="5" t="str">
        <f>IF(AG201=0,"Normal",
IF(AND(T201="Yes",S201&gt;=2),"ALD",
IF(AND(T201="Yes",S201&gt;=2,O201&gt;N201),"ALD",
IF(AND(T201="No",S201&gt;=2),"ALD",
IF(AND(G201&gt;=25,OR(T201="No",AND(T201="Yes",S201&lt;1))),"NAFLD",
IF(AND(N201&gt;O201,N201&gt;40,S201&lt;1),"NAFLD",
IF(AND(T201="Yes",S201&lt;1,G201&gt;=25,N201&gt;O201),"NAFLD",
IF(OR(P201&gt;1.2,Q201&gt;0.3),"Hyperbilirubinemia",
"Others"))))))))</f>
        <v>ALD</v>
      </c>
      <c r="AI201" s="5" t="str">
        <f>IF(AG201=0,"Normal",
IF(AND(T201="Yes",S201&gt;=2),"ALD (Confirmed)",
IF(AND(T201="Yes",S201&gt;=2,O201&gt;N201),"ALD (Confirmed)",
IF(AND(T201="No",S201&gt;=2),"ALD (Probable)",
IF(AND(G201&gt;=25,OR(T201="No",AND(T201="Yes",S201&lt;1))),"NAFLD",
IF(AND(N201&gt;O201,N201&gt;40,S201&lt;1),"NAFLD",
IF(AND(T201="Yes",S201&lt;1,G201&gt;=25,N201&gt;O201),"NAFLD",
IF(OR(P201&gt;1.2,Q201&gt;0.3),"Hyperbilirubinemia",
"Others"))))))))</f>
        <v>ALD (Probable)</v>
      </c>
      <c r="AJ201" s="5">
        <v>18</v>
      </c>
      <c r="AK201" s="5" t="s">
        <v>34</v>
      </c>
    </row>
    <row r="202" spans="1:37" ht="43.2" x14ac:dyDescent="0.3">
      <c r="A202" s="5">
        <v>208</v>
      </c>
      <c r="B202" s="5" t="s">
        <v>39</v>
      </c>
      <c r="C202" s="5">
        <v>44</v>
      </c>
      <c r="D202" s="2">
        <v>15</v>
      </c>
      <c r="E202" s="5">
        <v>165</v>
      </c>
      <c r="F202" s="5">
        <v>62</v>
      </c>
      <c r="G202" s="6">
        <v>22.773186409550046</v>
      </c>
      <c r="H202" s="9" t="s">
        <v>33</v>
      </c>
      <c r="I202" s="2">
        <v>32</v>
      </c>
      <c r="J202" s="5" t="s">
        <v>44</v>
      </c>
      <c r="K202" s="5" t="s">
        <v>44</v>
      </c>
      <c r="L202" s="5" t="s">
        <v>44</v>
      </c>
      <c r="M202" s="5" t="s">
        <v>44</v>
      </c>
      <c r="N202" s="5">
        <v>22.96</v>
      </c>
      <c r="O202" s="5">
        <v>106.22</v>
      </c>
      <c r="P202" s="5">
        <v>0.49</v>
      </c>
      <c r="Q202" s="5">
        <v>0.12</v>
      </c>
      <c r="R202" s="5">
        <v>0.37</v>
      </c>
      <c r="S202" s="8">
        <v>4.6263066202090588</v>
      </c>
      <c r="T202" s="5" t="s">
        <v>44</v>
      </c>
      <c r="U202" s="5"/>
      <c r="V202" s="5"/>
      <c r="W202" s="5"/>
      <c r="X202" s="5"/>
      <c r="Y202" s="5" t="s">
        <v>44</v>
      </c>
      <c r="Z202" s="5"/>
      <c r="AA202" s="5"/>
      <c r="AB202" s="9" t="s">
        <v>44</v>
      </c>
      <c r="AC202" s="2" t="s">
        <v>47</v>
      </c>
      <c r="AD202" s="2">
        <v>0</v>
      </c>
      <c r="AE202" s="2" t="s">
        <v>52</v>
      </c>
      <c r="AF202" s="2" t="str">
        <f t="shared" si="3"/>
        <v>Abnormal</v>
      </c>
      <c r="AG202" s="5">
        <v>1</v>
      </c>
      <c r="AH202" s="5" t="str">
        <f>IF(AG202=0,"Normal",
IF(AND(T202="Yes",S202&gt;=2),"ALD",
IF(AND(T202="Yes",S202&gt;=2,O202&gt;N202),"ALD",
IF(AND(T202="No",S202&gt;=2),"ALD",
IF(AND(G202&gt;=25,OR(T202="No",AND(T202="Yes",S202&lt;1))),"NAFLD",
IF(AND(N202&gt;O202,N202&gt;40,S202&lt;1),"NAFLD",
IF(AND(T202="Yes",S202&lt;1,G202&gt;=25,N202&gt;O202),"NAFLD",
IF(OR(P202&gt;1.2,Q202&gt;0.3),"Hyperbilirubinemia",
"Others"))))))))</f>
        <v>ALD</v>
      </c>
      <c r="AI202" s="5" t="str">
        <f>IF(AG202=0,"Normal",
IF(AND(T202="Yes",S202&gt;=2),"ALD (Confirmed)",
IF(AND(T202="Yes",S202&gt;=2,O202&gt;N202),"ALD (Confirmed)",
IF(AND(T202="No",S202&gt;=2),"ALD (Probable)",
IF(AND(G202&gt;=25,OR(T202="No",AND(T202="Yes",S202&lt;1))),"NAFLD",
IF(AND(N202&gt;O202,N202&gt;40,S202&lt;1),"NAFLD",
IF(AND(T202="Yes",S202&lt;1,G202&gt;=25,N202&gt;O202),"NAFLD",
IF(OR(P202&gt;1.2,Q202&gt;0.3),"Hyperbilirubinemia",
"Others"))))))))</f>
        <v>ALD (Probable)</v>
      </c>
      <c r="AJ202" s="5">
        <v>14</v>
      </c>
      <c r="AK202" s="5" t="s">
        <v>34</v>
      </c>
    </row>
    <row r="203" spans="1:37" ht="43.2" x14ac:dyDescent="0.3">
      <c r="A203" s="5">
        <v>209</v>
      </c>
      <c r="B203" s="5" t="s">
        <v>39</v>
      </c>
      <c r="C203" s="5">
        <v>35</v>
      </c>
      <c r="D203" s="2">
        <v>12</v>
      </c>
      <c r="E203" s="5">
        <v>168</v>
      </c>
      <c r="F203" s="5">
        <v>66</v>
      </c>
      <c r="G203" s="6">
        <v>23.3843537414966</v>
      </c>
      <c r="H203" s="9" t="s">
        <v>33</v>
      </c>
      <c r="I203" s="2">
        <v>32</v>
      </c>
      <c r="J203" s="5" t="s">
        <v>44</v>
      </c>
      <c r="K203" s="5" t="s">
        <v>44</v>
      </c>
      <c r="L203" s="5" t="s">
        <v>44</v>
      </c>
      <c r="M203" s="5" t="s">
        <v>44</v>
      </c>
      <c r="N203" s="5">
        <v>62.25</v>
      </c>
      <c r="O203" s="5">
        <v>152.83000000000001</v>
      </c>
      <c r="P203" s="5">
        <v>0.9</v>
      </c>
      <c r="Q203" s="5">
        <v>0.04</v>
      </c>
      <c r="R203" s="5">
        <v>0.86</v>
      </c>
      <c r="S203" s="8">
        <v>2.4551004016064257</v>
      </c>
      <c r="T203" s="5" t="s">
        <v>44</v>
      </c>
      <c r="U203" s="5"/>
      <c r="V203" s="5"/>
      <c r="W203" s="5"/>
      <c r="X203" s="5"/>
      <c r="Y203" s="5" t="s">
        <v>44</v>
      </c>
      <c r="Z203" s="5"/>
      <c r="AA203" s="5"/>
      <c r="AB203" s="9" t="s">
        <v>44</v>
      </c>
      <c r="AC203" s="2" t="s">
        <v>46</v>
      </c>
      <c r="AD203" s="2">
        <v>0</v>
      </c>
      <c r="AE203" s="2" t="s">
        <v>52</v>
      </c>
      <c r="AF203" s="2" t="str">
        <f t="shared" si="3"/>
        <v>Abnormal</v>
      </c>
      <c r="AG203" s="5">
        <v>1</v>
      </c>
      <c r="AH203" s="5" t="str">
        <f>IF(AG203=0,"Normal",
IF(AND(T203="Yes",S203&gt;=2),"ALD",
IF(AND(T203="Yes",S203&gt;=2,O203&gt;N203),"ALD",
IF(AND(T203="No",S203&gt;=2),"ALD",
IF(AND(G203&gt;=25,OR(T203="No",AND(T203="Yes",S203&lt;1))),"NAFLD",
IF(AND(N203&gt;O203,N203&gt;40,S203&lt;1),"NAFLD",
IF(AND(T203="Yes",S203&lt;1,G203&gt;=25,N203&gt;O203),"NAFLD",
IF(OR(P203&gt;1.2,Q203&gt;0.3),"Hyperbilirubinemia",
"Others"))))))))</f>
        <v>ALD</v>
      </c>
      <c r="AI203" s="5" t="str">
        <f>IF(AG203=0,"Normal",
IF(AND(T203="Yes",S203&gt;=2),"ALD (Confirmed)",
IF(AND(T203="Yes",S203&gt;=2,O203&gt;N203),"ALD (Confirmed)",
IF(AND(T203="No",S203&gt;=2),"ALD (Probable)",
IF(AND(G203&gt;=25,OR(T203="No",AND(T203="Yes",S203&lt;1))),"NAFLD",
IF(AND(N203&gt;O203,N203&gt;40,S203&lt;1),"NAFLD",
IF(AND(T203="Yes",S203&lt;1,G203&gt;=25,N203&gt;O203),"NAFLD",
IF(OR(P203&gt;1.2,Q203&gt;0.3),"Hyperbilirubinemia",
"Others"))))))))</f>
        <v>ALD (Probable)</v>
      </c>
      <c r="AJ203" s="5">
        <v>23</v>
      </c>
      <c r="AK203" s="5" t="s">
        <v>35</v>
      </c>
    </row>
    <row r="204" spans="1:37" ht="43.2" x14ac:dyDescent="0.3">
      <c r="A204" s="5">
        <v>210</v>
      </c>
      <c r="B204" s="5" t="s">
        <v>39</v>
      </c>
      <c r="C204" s="5">
        <v>28</v>
      </c>
      <c r="D204" s="2">
        <v>3</v>
      </c>
      <c r="E204" s="5">
        <v>163</v>
      </c>
      <c r="F204" s="5">
        <v>65</v>
      </c>
      <c r="G204" s="6">
        <v>24.464601603372348</v>
      </c>
      <c r="H204" s="9" t="s">
        <v>33</v>
      </c>
      <c r="I204" s="2">
        <v>32</v>
      </c>
      <c r="J204" s="5" t="s">
        <v>44</v>
      </c>
      <c r="K204" s="5" t="s">
        <v>44</v>
      </c>
      <c r="L204" s="5" t="s">
        <v>44</v>
      </c>
      <c r="M204" s="5" t="s">
        <v>44</v>
      </c>
      <c r="N204" s="5">
        <v>36</v>
      </c>
      <c r="O204" s="5">
        <v>35</v>
      </c>
      <c r="P204" s="5">
        <v>0.28000000000000003</v>
      </c>
      <c r="Q204" s="5">
        <v>0.01</v>
      </c>
      <c r="R204" s="5">
        <v>0.27</v>
      </c>
      <c r="S204" s="8">
        <v>0.97222222222222221</v>
      </c>
      <c r="T204" s="5" t="s">
        <v>44</v>
      </c>
      <c r="U204" s="5"/>
      <c r="V204" s="5"/>
      <c r="W204" s="5"/>
      <c r="X204" s="5"/>
      <c r="Y204" s="5" t="s">
        <v>44</v>
      </c>
      <c r="Z204" s="5"/>
      <c r="AA204" s="5"/>
      <c r="AB204" s="9" t="s">
        <v>44</v>
      </c>
      <c r="AC204" s="2" t="s">
        <v>46</v>
      </c>
      <c r="AD204" s="2">
        <v>0</v>
      </c>
      <c r="AE204" s="2" t="s">
        <v>52</v>
      </c>
      <c r="AF204" s="2" t="str">
        <f t="shared" si="3"/>
        <v>Normal</v>
      </c>
      <c r="AG204" s="5">
        <v>0</v>
      </c>
      <c r="AH204" s="5" t="str">
        <f>IF(AG204=0,"Normal",
IF(AND(T204="Yes",S204&gt;=2),"ALD",
IF(AND(T204="Yes",S204&gt;=2,O204&gt;N204),"ALD",
IF(AND(T204="No",S204&gt;=2),"ALD",
IF(AND(G204&gt;=25,OR(T204="No",AND(T204="Yes",S204&lt;1))),"NAFLD",
IF(AND(N204&gt;O204,N204&gt;40,S204&lt;1),"NAFLD",
IF(AND(T204="Yes",S204&lt;1,G204&gt;=25,N204&gt;O204),"NAFLD",
IF(OR(P204&gt;1.2,Q204&gt;0.3),"Hyperbilirubinemia",
"Others"))))))))</f>
        <v>Normal</v>
      </c>
      <c r="AI204" s="5" t="str">
        <f>IF(AG204=0,"Normal",
IF(AND(T204="Yes",S204&gt;=2),"ALD (Confirmed)",
IF(AND(T204="Yes",S204&gt;=2,O204&gt;N204),"ALD (Confirmed)",
IF(AND(T204="No",S204&gt;=2),"ALD (Probable)",
IF(AND(G204&gt;=25,OR(T204="No",AND(T204="Yes",S204&lt;1))),"NAFLD",
IF(AND(N204&gt;O204,N204&gt;40,S204&lt;1),"NAFLD",
IF(AND(T204="Yes",S204&lt;1,G204&gt;=25,N204&gt;O204),"NAFLD",
IF(OR(P204&gt;1.2,Q204&gt;0.3),"Hyperbilirubinemia",
"Others"))))))))</f>
        <v>Normal</v>
      </c>
      <c r="AJ204" s="5">
        <v>6</v>
      </c>
      <c r="AK204" s="5" t="s">
        <v>34</v>
      </c>
    </row>
    <row r="205" spans="1:37" ht="28.8" x14ac:dyDescent="0.3">
      <c r="A205" s="5">
        <v>211</v>
      </c>
      <c r="B205" s="5" t="s">
        <v>39</v>
      </c>
      <c r="C205" s="5">
        <v>42</v>
      </c>
      <c r="D205" s="2">
        <v>25</v>
      </c>
      <c r="E205" s="5">
        <v>165</v>
      </c>
      <c r="F205" s="5">
        <v>82</v>
      </c>
      <c r="G205" s="6">
        <v>30.119375573921026</v>
      </c>
      <c r="H205" s="9" t="s">
        <v>41</v>
      </c>
      <c r="I205" s="2">
        <v>36</v>
      </c>
      <c r="J205" s="5" t="s">
        <v>44</v>
      </c>
      <c r="K205" s="5" t="s">
        <v>44</v>
      </c>
      <c r="L205" s="5" t="s">
        <v>44</v>
      </c>
      <c r="M205" s="5" t="s">
        <v>44</v>
      </c>
      <c r="N205" s="5">
        <v>45.5</v>
      </c>
      <c r="O205" s="5">
        <v>35.200000000000003</v>
      </c>
      <c r="P205" s="5">
        <v>0.49</v>
      </c>
      <c r="Q205" s="5">
        <v>0.08</v>
      </c>
      <c r="R205" s="5">
        <v>0.41</v>
      </c>
      <c r="S205" s="8">
        <v>0.77362637362637365</v>
      </c>
      <c r="T205" s="5" t="s">
        <v>44</v>
      </c>
      <c r="U205" s="5"/>
      <c r="V205" s="5"/>
      <c r="W205" s="5"/>
      <c r="X205" s="5"/>
      <c r="Y205" s="5" t="s">
        <v>44</v>
      </c>
      <c r="Z205" s="5"/>
      <c r="AA205" s="5"/>
      <c r="AB205" s="9" t="s">
        <v>44</v>
      </c>
      <c r="AC205" s="2" t="s">
        <v>47</v>
      </c>
      <c r="AD205" s="2">
        <v>0</v>
      </c>
      <c r="AE205" s="2" t="s">
        <v>48</v>
      </c>
      <c r="AF205" s="2" t="str">
        <f t="shared" si="3"/>
        <v>Normal</v>
      </c>
      <c r="AG205" s="5">
        <v>0</v>
      </c>
      <c r="AH205" s="5" t="str">
        <f>IF(AG205=0,"Normal",
IF(AND(T205="Yes",S205&gt;=2),"ALD",
IF(AND(T205="Yes",S205&gt;=2,O205&gt;N205),"ALD",
IF(AND(T205="No",S205&gt;=2),"ALD",
IF(AND(G205&gt;=25,OR(T205="No",AND(T205="Yes",S205&lt;1))),"NAFLD",
IF(AND(N205&gt;O205,N205&gt;40,S205&lt;1),"NAFLD",
IF(AND(T205="Yes",S205&lt;1,G205&gt;=25,N205&gt;O205),"NAFLD",
IF(OR(P205&gt;1.2,Q205&gt;0.3),"Hyperbilirubinemia",
"Others"))))))))</f>
        <v>Normal</v>
      </c>
      <c r="AI205" s="5" t="str">
        <f>IF(AG205=0,"Normal",
IF(AND(T205="Yes",S205&gt;=2),"ALD (Confirmed)",
IF(AND(T205="Yes",S205&gt;=2,O205&gt;N205),"ALD (Confirmed)",
IF(AND(T205="No",S205&gt;=2),"ALD (Probable)",
IF(AND(G205&gt;=25,OR(T205="No",AND(T205="Yes",S205&lt;1))),"NAFLD",
IF(AND(N205&gt;O205,N205&gt;40,S205&lt;1),"NAFLD",
IF(AND(T205="Yes",S205&lt;1,G205&gt;=25,N205&gt;O205),"NAFLD",
IF(OR(P205&gt;1.2,Q205&gt;0.3),"Hyperbilirubinemia",
"Others"))))))))</f>
        <v>Normal</v>
      </c>
      <c r="AJ205" s="5">
        <v>19</v>
      </c>
      <c r="AK205" s="5" t="s">
        <v>34</v>
      </c>
    </row>
    <row r="206" spans="1:37" ht="28.8" x14ac:dyDescent="0.3">
      <c r="A206" s="5">
        <v>212</v>
      </c>
      <c r="B206" s="5" t="s">
        <v>39</v>
      </c>
      <c r="C206" s="5">
        <v>41</v>
      </c>
      <c r="D206" s="2">
        <v>15</v>
      </c>
      <c r="E206" s="5">
        <v>183</v>
      </c>
      <c r="F206" s="5">
        <v>72</v>
      </c>
      <c r="G206" s="6">
        <v>21.49959688255845</v>
      </c>
      <c r="H206" s="9" t="s">
        <v>33</v>
      </c>
      <c r="I206" s="2">
        <v>32</v>
      </c>
      <c r="J206" s="5" t="s">
        <v>44</v>
      </c>
      <c r="K206" s="5" t="s">
        <v>44</v>
      </c>
      <c r="L206" s="5" t="s">
        <v>44</v>
      </c>
      <c r="M206" s="5" t="s">
        <v>45</v>
      </c>
      <c r="N206" s="5">
        <v>29.63</v>
      </c>
      <c r="O206" s="5">
        <v>26.88</v>
      </c>
      <c r="P206" s="5">
        <v>0.53</v>
      </c>
      <c r="Q206" s="5">
        <v>0.09</v>
      </c>
      <c r="R206" s="5">
        <v>0.44</v>
      </c>
      <c r="S206" s="8">
        <v>0.90718866014174826</v>
      </c>
      <c r="T206" s="5" t="s">
        <v>44</v>
      </c>
      <c r="U206" s="5"/>
      <c r="V206" s="5"/>
      <c r="W206" s="5"/>
      <c r="X206" s="5"/>
      <c r="Y206" s="5" t="s">
        <v>44</v>
      </c>
      <c r="Z206" s="5"/>
      <c r="AA206" s="5"/>
      <c r="AB206" s="9" t="s">
        <v>44</v>
      </c>
      <c r="AC206" s="2" t="s">
        <v>47</v>
      </c>
      <c r="AD206" s="2">
        <v>0</v>
      </c>
      <c r="AE206" s="2" t="s">
        <v>49</v>
      </c>
      <c r="AF206" s="2" t="str">
        <f t="shared" si="3"/>
        <v>Normal</v>
      </c>
      <c r="AG206" s="5">
        <v>0</v>
      </c>
      <c r="AH206" s="5" t="str">
        <f>IF(AG206=0,"Normal",
IF(AND(T206="Yes",S206&gt;=2),"ALD",
IF(AND(T206="Yes",S206&gt;=2,O206&gt;N206),"ALD",
IF(AND(T206="No",S206&gt;=2),"ALD",
IF(AND(G206&gt;=25,OR(T206="No",AND(T206="Yes",S206&lt;1))),"NAFLD",
IF(AND(N206&gt;O206,N206&gt;40,S206&lt;1),"NAFLD",
IF(AND(T206="Yes",S206&lt;1,G206&gt;=25,N206&gt;O206),"NAFLD",
IF(OR(P206&gt;1.2,Q206&gt;0.3),"Hyperbilirubinemia",
"Others"))))))))</f>
        <v>Normal</v>
      </c>
      <c r="AI206" s="5" t="str">
        <f>IF(AG206=0,"Normal",
IF(AND(T206="Yes",S206&gt;=2),"ALD (Confirmed)",
IF(AND(T206="Yes",S206&gt;=2,O206&gt;N206),"ALD (Confirmed)",
IF(AND(T206="No",S206&gt;=2),"ALD (Probable)",
IF(AND(G206&gt;=25,OR(T206="No",AND(T206="Yes",S206&lt;1))),"NAFLD",
IF(AND(N206&gt;O206,N206&gt;40,S206&lt;1),"NAFLD",
IF(AND(T206="Yes",S206&lt;1,G206&gt;=25,N206&gt;O206),"NAFLD",
IF(OR(P206&gt;1.2,Q206&gt;0.3),"Hyperbilirubinemia",
"Others"))))))))</f>
        <v>Normal</v>
      </c>
      <c r="AJ206" s="5">
        <v>6</v>
      </c>
      <c r="AK206" s="5" t="s">
        <v>34</v>
      </c>
    </row>
    <row r="207" spans="1:37" ht="43.2" x14ac:dyDescent="0.3">
      <c r="A207" s="5">
        <v>213</v>
      </c>
      <c r="B207" s="5" t="s">
        <v>39</v>
      </c>
      <c r="C207" s="5">
        <v>41</v>
      </c>
      <c r="D207" s="2">
        <v>16</v>
      </c>
      <c r="E207" s="5">
        <v>157</v>
      </c>
      <c r="F207" s="5">
        <v>96</v>
      </c>
      <c r="G207" s="6">
        <v>38.946813258144346</v>
      </c>
      <c r="H207" s="9" t="s">
        <v>41</v>
      </c>
      <c r="I207" s="2">
        <v>36</v>
      </c>
      <c r="J207" s="5" t="s">
        <v>44</v>
      </c>
      <c r="K207" s="5" t="s">
        <v>44</v>
      </c>
      <c r="L207" s="5" t="s">
        <v>44</v>
      </c>
      <c r="M207" s="5" t="s">
        <v>44</v>
      </c>
      <c r="N207" s="5">
        <v>41.45</v>
      </c>
      <c r="O207" s="5">
        <v>53.01</v>
      </c>
      <c r="P207" s="5">
        <v>0.37</v>
      </c>
      <c r="Q207" s="5">
        <v>0.09</v>
      </c>
      <c r="R207" s="5">
        <v>0.28000000000000003</v>
      </c>
      <c r="S207" s="8">
        <v>1.2788902291917972</v>
      </c>
      <c r="T207" s="5" t="s">
        <v>45</v>
      </c>
      <c r="U207" s="5" t="s">
        <v>57</v>
      </c>
      <c r="V207" s="5" t="s">
        <v>61</v>
      </c>
      <c r="W207" s="5" t="s">
        <v>65</v>
      </c>
      <c r="X207" s="5" t="s">
        <v>72</v>
      </c>
      <c r="Y207" s="5" t="s">
        <v>44</v>
      </c>
      <c r="Z207" s="5"/>
      <c r="AA207" s="5"/>
      <c r="AB207" s="9" t="s">
        <v>44</v>
      </c>
      <c r="AC207" s="2" t="s">
        <v>46</v>
      </c>
      <c r="AD207" s="2">
        <v>0</v>
      </c>
      <c r="AE207" s="2" t="s">
        <v>52</v>
      </c>
      <c r="AF207" s="2" t="str">
        <f t="shared" si="3"/>
        <v>Abnormal</v>
      </c>
      <c r="AG207" s="5">
        <v>1</v>
      </c>
      <c r="AH207" s="5" t="str">
        <f>IF(AG207=0,"Normal",
IF(AND(T207="Yes",S207&gt;=2),"ALD",
IF(AND(T207="Yes",S207&gt;=2,O207&gt;N207),"ALD",
IF(AND(T207="No",S207&gt;=2),"ALD",
IF(AND(G207&gt;=25,OR(T207="No",AND(T207="Yes",S207&lt;1))),"NAFLD",
IF(AND(N207&gt;O207,N207&gt;40,S207&lt;1),"NAFLD",
IF(AND(T207="Yes",S207&lt;1,G207&gt;=25,N207&gt;O207),"NAFLD",
IF(OR(P207&gt;1.2,Q207&gt;0.3),"Hyperbilirubinemia",
"Others"))))))))</f>
        <v>Others</v>
      </c>
      <c r="AI207" s="5" t="str">
        <f>IF(AG207=0,"Normal",
IF(AND(T207="Yes",S207&gt;=2),"ALD (Confirmed)",
IF(AND(T207="Yes",S207&gt;=2,O207&gt;N207),"ALD (Confirmed)",
IF(AND(T207="No",S207&gt;=2),"ALD (Probable)",
IF(AND(G207&gt;=25,OR(T207="No",AND(T207="Yes",S207&lt;1))),"NAFLD",
IF(AND(N207&gt;O207,N207&gt;40,S207&lt;1),"NAFLD",
IF(AND(T207="Yes",S207&lt;1,G207&gt;=25,N207&gt;O207),"NAFLD",
IF(OR(P207&gt;1.2,Q207&gt;0.3),"Hyperbilirubinemia",
"Others"))))))))</f>
        <v>Others</v>
      </c>
      <c r="AJ207" s="5">
        <v>36</v>
      </c>
      <c r="AK207" s="5" t="s">
        <v>35</v>
      </c>
    </row>
    <row r="208" spans="1:37" ht="43.2" x14ac:dyDescent="0.3">
      <c r="A208" s="5">
        <v>214</v>
      </c>
      <c r="B208" s="5" t="s">
        <v>39</v>
      </c>
      <c r="C208" s="5">
        <v>45</v>
      </c>
      <c r="D208" s="2">
        <v>18</v>
      </c>
      <c r="E208" s="5">
        <v>160</v>
      </c>
      <c r="F208" s="5">
        <v>64</v>
      </c>
      <c r="G208" s="6">
        <v>25</v>
      </c>
      <c r="H208" s="9" t="s">
        <v>42</v>
      </c>
      <c r="I208" s="2">
        <v>32</v>
      </c>
      <c r="J208" s="5" t="s">
        <v>44</v>
      </c>
      <c r="K208" s="5" t="s">
        <v>44</v>
      </c>
      <c r="L208" s="5" t="s">
        <v>44</v>
      </c>
      <c r="M208" s="5" t="s">
        <v>44</v>
      </c>
      <c r="N208" s="5">
        <v>28.16</v>
      </c>
      <c r="O208" s="5">
        <v>92.62</v>
      </c>
      <c r="P208" s="5">
        <v>0.49</v>
      </c>
      <c r="Q208" s="5">
        <v>0.1</v>
      </c>
      <c r="R208" s="5">
        <v>0.39</v>
      </c>
      <c r="S208" s="8">
        <v>3.2890625</v>
      </c>
      <c r="T208" s="5" t="s">
        <v>44</v>
      </c>
      <c r="U208" s="5"/>
      <c r="V208" s="5"/>
      <c r="W208" s="5"/>
      <c r="X208" s="5"/>
      <c r="Y208" s="5" t="s">
        <v>44</v>
      </c>
      <c r="Z208" s="5"/>
      <c r="AA208" s="5"/>
      <c r="AB208" s="9" t="s">
        <v>44</v>
      </c>
      <c r="AC208" s="2" t="s">
        <v>47</v>
      </c>
      <c r="AD208" s="2">
        <v>0</v>
      </c>
      <c r="AE208" s="2" t="s">
        <v>52</v>
      </c>
      <c r="AF208" s="2" t="str">
        <f t="shared" si="3"/>
        <v>Abnormal</v>
      </c>
      <c r="AG208" s="5">
        <v>1</v>
      </c>
      <c r="AH208" s="5" t="str">
        <f>IF(AG208=0,"Normal",
IF(AND(T208="Yes",S208&gt;=2),"ALD",
IF(AND(T208="Yes",S208&gt;=2,O208&gt;N208),"ALD",
IF(AND(T208="No",S208&gt;=2),"ALD",
IF(AND(G208&gt;=25,OR(T208="No",AND(T208="Yes",S208&lt;1))),"NAFLD",
IF(AND(N208&gt;O208,N208&gt;40,S208&lt;1),"NAFLD",
IF(AND(T208="Yes",S208&lt;1,G208&gt;=25,N208&gt;O208),"NAFLD",
IF(OR(P208&gt;1.2,Q208&gt;0.3),"Hyperbilirubinemia",
"Others"))))))))</f>
        <v>ALD</v>
      </c>
      <c r="AI208" s="5" t="str">
        <f>IF(AG208=0,"Normal",
IF(AND(T208="Yes",S208&gt;=2),"ALD (Confirmed)",
IF(AND(T208="Yes",S208&gt;=2,O208&gt;N208),"ALD (Confirmed)",
IF(AND(T208="No",S208&gt;=2),"ALD (Probable)",
IF(AND(G208&gt;=25,OR(T208="No",AND(T208="Yes",S208&lt;1))),"NAFLD",
IF(AND(N208&gt;O208,N208&gt;40,S208&lt;1),"NAFLD",
IF(AND(T208="Yes",S208&lt;1,G208&gt;=25,N208&gt;O208),"NAFLD",
IF(OR(P208&gt;1.2,Q208&gt;0.3),"Hyperbilirubinemia",
"Others"))))))))</f>
        <v>ALD (Probable)</v>
      </c>
      <c r="AJ208" s="5">
        <v>18</v>
      </c>
      <c r="AK208" s="5" t="s">
        <v>34</v>
      </c>
    </row>
    <row r="209" spans="1:37" ht="28.8" x14ac:dyDescent="0.3">
      <c r="A209" s="5">
        <v>215</v>
      </c>
      <c r="B209" s="5" t="s">
        <v>39</v>
      </c>
      <c r="C209" s="5">
        <v>37</v>
      </c>
      <c r="D209" s="2">
        <v>15</v>
      </c>
      <c r="E209" s="5">
        <v>183</v>
      </c>
      <c r="F209" s="5">
        <v>71</v>
      </c>
      <c r="G209" s="6">
        <v>21.200991370300695</v>
      </c>
      <c r="H209" s="9" t="s">
        <v>33</v>
      </c>
      <c r="I209" s="2">
        <v>36</v>
      </c>
      <c r="J209" s="5" t="s">
        <v>44</v>
      </c>
      <c r="K209" s="5" t="s">
        <v>44</v>
      </c>
      <c r="L209" s="5" t="s">
        <v>44</v>
      </c>
      <c r="M209" s="5" t="s">
        <v>44</v>
      </c>
      <c r="N209" s="5">
        <v>23.7</v>
      </c>
      <c r="O209" s="5">
        <v>36.200000000000003</v>
      </c>
      <c r="P209" s="5">
        <v>1.07</v>
      </c>
      <c r="Q209" s="5">
        <v>0.33</v>
      </c>
      <c r="R209" s="5">
        <v>0.74</v>
      </c>
      <c r="S209" s="8">
        <v>1.527426160337553</v>
      </c>
      <c r="T209" s="5" t="s">
        <v>44</v>
      </c>
      <c r="U209" s="5"/>
      <c r="V209" s="5"/>
      <c r="W209" s="5"/>
      <c r="X209" s="5"/>
      <c r="Y209" s="5" t="s">
        <v>44</v>
      </c>
      <c r="Z209" s="5"/>
      <c r="AA209" s="5"/>
      <c r="AB209" s="9" t="s">
        <v>44</v>
      </c>
      <c r="AC209" s="2" t="s">
        <v>47</v>
      </c>
      <c r="AD209" s="2">
        <v>0</v>
      </c>
      <c r="AE209" s="2" t="s">
        <v>52</v>
      </c>
      <c r="AF209" s="2" t="str">
        <f t="shared" si="3"/>
        <v>Abnormal</v>
      </c>
      <c r="AG209" s="5">
        <v>1</v>
      </c>
      <c r="AH209" s="5" t="str">
        <f>IF(AG209=0,"Normal",
IF(AND(T209="Yes",S209&gt;=2),"ALD",
IF(AND(T209="Yes",S209&gt;=2,O209&gt;N209),"ALD",
IF(AND(T209="No",S209&gt;=2),"ALD",
IF(AND(G209&gt;=25,OR(T209="No",AND(T209="Yes",S209&lt;1))),"NAFLD",
IF(AND(N209&gt;O209,N209&gt;40,S209&lt;1),"NAFLD",
IF(AND(T209="Yes",S209&lt;1,G209&gt;=25,N209&gt;O209),"NAFLD",
IF(OR(P209&gt;1.2,Q209&gt;0.3),"Hyperbilirubinemia",
"Others"))))))))</f>
        <v>Hyperbilirubinemia</v>
      </c>
      <c r="AI209" s="5" t="str">
        <f>IF(AG209=0,"Normal",
IF(AND(T209="Yes",S209&gt;=2),"ALD (Confirmed)",
IF(AND(T209="Yes",S209&gt;=2,O209&gt;N209),"ALD (Confirmed)",
IF(AND(T209="No",S209&gt;=2),"ALD (Probable)",
IF(AND(G209&gt;=25,OR(T209="No",AND(T209="Yes",S209&lt;1))),"NAFLD",
IF(AND(N209&gt;O209,N209&gt;40,S209&lt;1),"NAFLD",
IF(AND(T209="Yes",S209&lt;1,G209&gt;=25,N209&gt;O209),"NAFLD",
IF(OR(P209&gt;1.2,Q209&gt;0.3),"Hyperbilirubinemia",
"Others"))))))))</f>
        <v>Hyperbilirubinemia</v>
      </c>
      <c r="AJ209" s="5">
        <v>7</v>
      </c>
      <c r="AK209" s="5" t="s">
        <v>34</v>
      </c>
    </row>
    <row r="210" spans="1:37" ht="43.2" x14ac:dyDescent="0.3">
      <c r="A210" s="5">
        <v>216</v>
      </c>
      <c r="B210" s="5" t="s">
        <v>39</v>
      </c>
      <c r="C210" s="5">
        <v>23</v>
      </c>
      <c r="D210" s="2">
        <v>1</v>
      </c>
      <c r="E210" s="5">
        <v>175</v>
      </c>
      <c r="F210" s="5">
        <v>65</v>
      </c>
      <c r="G210" s="6">
        <v>21.224489795918366</v>
      </c>
      <c r="H210" s="9" t="s">
        <v>33</v>
      </c>
      <c r="I210" s="2">
        <v>32</v>
      </c>
      <c r="J210" s="5" t="s">
        <v>44</v>
      </c>
      <c r="K210" s="5" t="s">
        <v>44</v>
      </c>
      <c r="L210" s="5" t="s">
        <v>44</v>
      </c>
      <c r="M210" s="5" t="s">
        <v>44</v>
      </c>
      <c r="N210" s="5">
        <v>25.47</v>
      </c>
      <c r="O210" s="5">
        <v>33.06</v>
      </c>
      <c r="P210" s="5">
        <v>0.88</v>
      </c>
      <c r="Q210" s="5">
        <v>0.13</v>
      </c>
      <c r="R210" s="5">
        <v>0.75</v>
      </c>
      <c r="S210" s="8">
        <v>1.2979976442873971</v>
      </c>
      <c r="T210" s="5" t="s">
        <v>44</v>
      </c>
      <c r="U210" s="5"/>
      <c r="V210" s="5"/>
      <c r="W210" s="5"/>
      <c r="X210" s="5"/>
      <c r="Y210" s="5" t="s">
        <v>44</v>
      </c>
      <c r="Z210" s="5"/>
      <c r="AA210" s="5"/>
      <c r="AB210" s="9" t="s">
        <v>44</v>
      </c>
      <c r="AC210" s="2" t="s">
        <v>46</v>
      </c>
      <c r="AD210" s="2">
        <v>0</v>
      </c>
      <c r="AE210" s="2" t="s">
        <v>52</v>
      </c>
      <c r="AF210" s="2" t="str">
        <f t="shared" si="3"/>
        <v>Normal</v>
      </c>
      <c r="AG210" s="5">
        <v>0</v>
      </c>
      <c r="AH210" s="5" t="str">
        <f>IF(AG210=0,"Normal",
IF(AND(T210="Yes",S210&gt;=2),"ALD",
IF(AND(T210="Yes",S210&gt;=2,O210&gt;N210),"ALD",
IF(AND(T210="No",S210&gt;=2),"ALD",
IF(AND(G210&gt;=25,OR(T210="No",AND(T210="Yes",S210&lt;1))),"NAFLD",
IF(AND(N210&gt;O210,N210&gt;40,S210&lt;1),"NAFLD",
IF(AND(T210="Yes",S210&lt;1,G210&gt;=25,N210&gt;O210),"NAFLD",
IF(OR(P210&gt;1.2,Q210&gt;0.3),"Hyperbilirubinemia",
"Others"))))))))</f>
        <v>Normal</v>
      </c>
      <c r="AI210" s="5" t="str">
        <f>IF(AG210=0,"Normal",
IF(AND(T210="Yes",S210&gt;=2),"ALD (Confirmed)",
IF(AND(T210="Yes",S210&gt;=2,O210&gt;N210),"ALD (Confirmed)",
IF(AND(T210="No",S210&gt;=2),"ALD (Probable)",
IF(AND(G210&gt;=25,OR(T210="No",AND(T210="Yes",S210&lt;1))),"NAFLD",
IF(AND(N210&gt;O210,N210&gt;40,S210&lt;1),"NAFLD",
IF(AND(T210="Yes",S210&lt;1,G210&gt;=25,N210&gt;O210),"NAFLD",
IF(OR(P210&gt;1.2,Q210&gt;0.3),"Hyperbilirubinemia",
"Others"))))))))</f>
        <v>Normal</v>
      </c>
      <c r="AJ210" s="5">
        <v>5</v>
      </c>
      <c r="AK210" s="5" t="s">
        <v>34</v>
      </c>
    </row>
    <row r="211" spans="1:37" ht="28.8" x14ac:dyDescent="0.3">
      <c r="A211" s="5">
        <v>217</v>
      </c>
      <c r="B211" s="5" t="s">
        <v>39</v>
      </c>
      <c r="C211" s="5">
        <v>34</v>
      </c>
      <c r="D211" s="2">
        <v>13</v>
      </c>
      <c r="E211" s="5">
        <v>165</v>
      </c>
      <c r="F211" s="5">
        <v>84</v>
      </c>
      <c r="G211" s="6">
        <v>30.853994490358129</v>
      </c>
      <c r="H211" s="9" t="s">
        <v>41</v>
      </c>
      <c r="I211" s="2">
        <v>36</v>
      </c>
      <c r="J211" s="5" t="s">
        <v>44</v>
      </c>
      <c r="K211" s="5" t="s">
        <v>44</v>
      </c>
      <c r="L211" s="5" t="s">
        <v>44</v>
      </c>
      <c r="M211" s="5" t="s">
        <v>45</v>
      </c>
      <c r="N211" s="5">
        <v>60.5</v>
      </c>
      <c r="O211" s="5">
        <v>39.6</v>
      </c>
      <c r="P211" s="5">
        <v>0.86</v>
      </c>
      <c r="Q211" s="5">
        <v>0.01</v>
      </c>
      <c r="R211" s="5">
        <v>0.85</v>
      </c>
      <c r="S211" s="8">
        <v>0.65454545454545454</v>
      </c>
      <c r="T211" s="5" t="s">
        <v>44</v>
      </c>
      <c r="U211" s="5"/>
      <c r="V211" s="5"/>
      <c r="W211" s="5"/>
      <c r="X211" s="5"/>
      <c r="Y211" s="5" t="s">
        <v>44</v>
      </c>
      <c r="Z211" s="5"/>
      <c r="AA211" s="5"/>
      <c r="AB211" s="9" t="s">
        <v>44</v>
      </c>
      <c r="AC211" s="2" t="s">
        <v>47</v>
      </c>
      <c r="AD211" s="2">
        <v>0</v>
      </c>
      <c r="AE211" s="2" t="s">
        <v>52</v>
      </c>
      <c r="AF211" s="2" t="str">
        <f t="shared" si="3"/>
        <v>Abnormal</v>
      </c>
      <c r="AG211" s="5">
        <v>1</v>
      </c>
      <c r="AH211" s="5" t="str">
        <f>IF(AG211=0,"Normal",
IF(AND(T211="Yes",S211&gt;=2),"ALD",
IF(AND(T211="Yes",S211&gt;=2,O211&gt;N211),"ALD",
IF(AND(T211="No",S211&gt;=2),"ALD",
IF(AND(G211&gt;=25,OR(T211="No",AND(T211="Yes",S211&lt;1))),"NAFLD",
IF(AND(N211&gt;O211,N211&gt;40,S211&lt;1),"NAFLD",
IF(AND(T211="Yes",S211&lt;1,G211&gt;=25,N211&gt;O211),"NAFLD",
IF(OR(P211&gt;1.2,Q211&gt;0.3),"Hyperbilirubinemia",
"Others"))))))))</f>
        <v>NAFLD</v>
      </c>
      <c r="AI211" s="5" t="str">
        <f>IF(AG211=0,"Normal",
IF(AND(T211="Yes",S211&gt;=2),"ALD (Confirmed)",
IF(AND(T211="Yes",S211&gt;=2,O211&gt;N211),"ALD (Confirmed)",
IF(AND(T211="No",S211&gt;=2),"ALD (Probable)",
IF(AND(G211&gt;=25,OR(T211="No",AND(T211="Yes",S211&lt;1))),"NAFLD",
IF(AND(N211&gt;O211,N211&gt;40,S211&lt;1),"NAFLD",
IF(AND(T211="Yes",S211&lt;1,G211&gt;=25,N211&gt;O211),"NAFLD",
IF(OR(P211&gt;1.2,Q211&gt;0.3),"Hyperbilirubinemia",
"Others"))))))))</f>
        <v>NAFLD</v>
      </c>
      <c r="AJ211" s="5">
        <v>26</v>
      </c>
      <c r="AK211" s="5" t="s">
        <v>35</v>
      </c>
    </row>
    <row r="212" spans="1:37" ht="28.8" x14ac:dyDescent="0.3">
      <c r="A212" s="5">
        <v>218</v>
      </c>
      <c r="B212" s="5" t="s">
        <v>40</v>
      </c>
      <c r="C212" s="5">
        <v>26</v>
      </c>
      <c r="D212" s="2">
        <v>6</v>
      </c>
      <c r="E212" s="5">
        <v>157</v>
      </c>
      <c r="F212" s="5">
        <v>47</v>
      </c>
      <c r="G212" s="6">
        <v>19.067710657633167</v>
      </c>
      <c r="H212" s="9" t="s">
        <v>33</v>
      </c>
      <c r="I212" s="2">
        <v>28</v>
      </c>
      <c r="J212" s="5" t="s">
        <v>44</v>
      </c>
      <c r="K212" s="5" t="s">
        <v>44</v>
      </c>
      <c r="L212" s="5" t="s">
        <v>44</v>
      </c>
      <c r="M212" s="5" t="s">
        <v>44</v>
      </c>
      <c r="N212" s="5">
        <v>148</v>
      </c>
      <c r="O212" s="5">
        <v>39.799999999999997</v>
      </c>
      <c r="P212" s="5">
        <v>0.27</v>
      </c>
      <c r="Q212" s="5">
        <v>0.1</v>
      </c>
      <c r="R212" s="5">
        <v>0.17</v>
      </c>
      <c r="S212" s="8">
        <v>0.26891891891891889</v>
      </c>
      <c r="T212" s="5" t="s">
        <v>44</v>
      </c>
      <c r="U212" s="5"/>
      <c r="V212" s="5"/>
      <c r="W212" s="5"/>
      <c r="X212" s="5"/>
      <c r="Y212" s="5" t="s">
        <v>44</v>
      </c>
      <c r="Z212" s="5"/>
      <c r="AA212" s="5"/>
      <c r="AB212" s="9" t="s">
        <v>44</v>
      </c>
      <c r="AC212" s="2" t="s">
        <v>47</v>
      </c>
      <c r="AD212" s="2">
        <v>0</v>
      </c>
      <c r="AE212" s="2" t="s">
        <v>52</v>
      </c>
      <c r="AF212" s="2" t="str">
        <f t="shared" si="3"/>
        <v>Abnormal</v>
      </c>
      <c r="AG212" s="5">
        <v>1</v>
      </c>
      <c r="AH212" s="5" t="str">
        <f>IF(AG212=0,"Normal",
IF(AND(T212="Yes",S212&gt;=2),"ALD",
IF(AND(T212="Yes",S212&gt;=2,O212&gt;N212),"ALD",
IF(AND(T212="No",S212&gt;=2),"ALD",
IF(AND(G212&gt;=25,OR(T212="No",AND(T212="Yes",S212&lt;1))),"NAFLD",
IF(AND(N212&gt;O212,N212&gt;40,S212&lt;1),"NAFLD",
IF(AND(T212="Yes",S212&lt;1,G212&gt;=25,N212&gt;O212),"NAFLD",
IF(OR(P212&gt;1.2,Q212&gt;0.3),"Hyperbilirubinemia",
"Others"))))))))</f>
        <v>NAFLD</v>
      </c>
      <c r="AI212" s="5" t="str">
        <f>IF(AG212=0,"Normal",
IF(AND(T212="Yes",S212&gt;=2),"ALD (Confirmed)",
IF(AND(T212="Yes",S212&gt;=2,O212&gt;N212),"ALD (Confirmed)",
IF(AND(T212="No",S212&gt;=2),"ALD (Probable)",
IF(AND(G212&gt;=25,OR(T212="No",AND(T212="Yes",S212&lt;1))),"NAFLD",
IF(AND(N212&gt;O212,N212&gt;40,S212&lt;1),"NAFLD",
IF(AND(T212="Yes",S212&lt;1,G212&gt;=25,N212&gt;O212),"NAFLD",
IF(OR(P212&gt;1.2,Q212&gt;0.3),"Hyperbilirubinemia",
"Others"))))))))</f>
        <v>NAFLD</v>
      </c>
      <c r="AJ212" s="5">
        <v>13</v>
      </c>
      <c r="AK212" s="5" t="s">
        <v>34</v>
      </c>
    </row>
    <row r="213" spans="1:37" ht="43.2" x14ac:dyDescent="0.3">
      <c r="A213" s="5">
        <v>219</v>
      </c>
      <c r="B213" s="5" t="s">
        <v>40</v>
      </c>
      <c r="C213" s="5">
        <v>23</v>
      </c>
      <c r="D213" s="2">
        <v>3</v>
      </c>
      <c r="E213" s="5">
        <v>148</v>
      </c>
      <c r="F213" s="5">
        <v>35</v>
      </c>
      <c r="G213" s="6">
        <v>15.978816654492331</v>
      </c>
      <c r="H213" s="9" t="s">
        <v>43</v>
      </c>
      <c r="I213" s="2">
        <v>28</v>
      </c>
      <c r="J213" s="5" t="s">
        <v>44</v>
      </c>
      <c r="K213" s="5" t="s">
        <v>44</v>
      </c>
      <c r="L213" s="5" t="s">
        <v>44</v>
      </c>
      <c r="M213" s="5" t="s">
        <v>44</v>
      </c>
      <c r="N213" s="5">
        <v>11.88</v>
      </c>
      <c r="O213" s="5">
        <v>27.5</v>
      </c>
      <c r="P213" s="5">
        <v>0.21</v>
      </c>
      <c r="Q213" s="5">
        <v>0.05</v>
      </c>
      <c r="R213" s="5">
        <v>0.16</v>
      </c>
      <c r="S213" s="8">
        <v>2.3148148148148149</v>
      </c>
      <c r="T213" s="5" t="s">
        <v>44</v>
      </c>
      <c r="U213" s="5"/>
      <c r="V213" s="5"/>
      <c r="W213" s="5"/>
      <c r="X213" s="5"/>
      <c r="Y213" s="5" t="s">
        <v>44</v>
      </c>
      <c r="Z213" s="5"/>
      <c r="AA213" s="5"/>
      <c r="AB213" s="9" t="s">
        <v>44</v>
      </c>
      <c r="AC213" s="2" t="s">
        <v>46</v>
      </c>
      <c r="AD213" s="2">
        <v>0</v>
      </c>
      <c r="AE213" s="2" t="s">
        <v>48</v>
      </c>
      <c r="AF213" s="2" t="str">
        <f t="shared" si="3"/>
        <v>Normal</v>
      </c>
      <c r="AG213" s="5">
        <v>0</v>
      </c>
      <c r="AH213" s="5" t="str">
        <f>IF(AG213=0,"Normal",
IF(AND(T213="Yes",S213&gt;=2),"ALD",
IF(AND(T213="Yes",S213&gt;=2,O213&gt;N213),"ALD",
IF(AND(T213="No",S213&gt;=2),"ALD",
IF(AND(G213&gt;=25,OR(T213="No",AND(T213="Yes",S213&lt;1))),"NAFLD",
IF(AND(N213&gt;O213,N213&gt;40,S213&lt;1),"NAFLD",
IF(AND(T213="Yes",S213&lt;1,G213&gt;=25,N213&gt;O213),"NAFLD",
IF(OR(P213&gt;1.2,Q213&gt;0.3),"Hyperbilirubinemia",
"Others"))))))))</f>
        <v>Normal</v>
      </c>
      <c r="AI213" s="5" t="str">
        <f>IF(AG213=0,"Normal",
IF(AND(T213="Yes",S213&gt;=2),"ALD (Confirmed)",
IF(AND(T213="Yes",S213&gt;=2,O213&gt;N213),"ALD (Confirmed)",
IF(AND(T213="No",S213&gt;=2),"ALD (Probable)",
IF(AND(G213&gt;=25,OR(T213="No",AND(T213="Yes",S213&lt;1))),"NAFLD",
IF(AND(N213&gt;O213,N213&gt;40,S213&lt;1),"NAFLD",
IF(AND(T213="Yes",S213&lt;1,G213&gt;=25,N213&gt;O213),"NAFLD",
IF(OR(P213&gt;1.2,Q213&gt;0.3),"Hyperbilirubinemia",
"Others"))))))))</f>
        <v>Normal</v>
      </c>
      <c r="AJ213" s="5">
        <v>2</v>
      </c>
      <c r="AK213" s="5" t="s">
        <v>34</v>
      </c>
    </row>
    <row r="214" spans="1:37" ht="43.2" x14ac:dyDescent="0.3">
      <c r="A214" s="5">
        <v>220</v>
      </c>
      <c r="B214" s="5" t="s">
        <v>39</v>
      </c>
      <c r="C214" s="5">
        <v>47</v>
      </c>
      <c r="D214" s="2">
        <v>22</v>
      </c>
      <c r="E214" s="5">
        <v>164</v>
      </c>
      <c r="F214" s="5">
        <v>66</v>
      </c>
      <c r="G214" s="6">
        <v>24.538964901844139</v>
      </c>
      <c r="H214" s="9" t="s">
        <v>33</v>
      </c>
      <c r="I214" s="2">
        <v>32</v>
      </c>
      <c r="J214" s="5" t="s">
        <v>44</v>
      </c>
      <c r="K214" s="5" t="s">
        <v>44</v>
      </c>
      <c r="L214" s="5" t="s">
        <v>44</v>
      </c>
      <c r="M214" s="5" t="s">
        <v>44</v>
      </c>
      <c r="N214" s="5">
        <v>40.6</v>
      </c>
      <c r="O214" s="5">
        <v>39.630000000000003</v>
      </c>
      <c r="P214" s="5">
        <v>0.49</v>
      </c>
      <c r="Q214" s="5">
        <v>7.0000000000000007E-2</v>
      </c>
      <c r="R214" s="5">
        <v>0.42</v>
      </c>
      <c r="S214" s="8">
        <v>0.97610837438423648</v>
      </c>
      <c r="T214" s="5" t="s">
        <v>44</v>
      </c>
      <c r="U214" s="5"/>
      <c r="V214" s="5"/>
      <c r="W214" s="5"/>
      <c r="X214" s="5"/>
      <c r="Y214" s="5" t="s">
        <v>44</v>
      </c>
      <c r="Z214" s="5"/>
      <c r="AA214" s="5"/>
      <c r="AB214" s="9" t="s">
        <v>44</v>
      </c>
      <c r="AC214" s="2" t="s">
        <v>46</v>
      </c>
      <c r="AD214" s="2">
        <v>0</v>
      </c>
      <c r="AE214" s="2" t="s">
        <v>49</v>
      </c>
      <c r="AF214" s="2" t="str">
        <f t="shared" si="3"/>
        <v>Normal</v>
      </c>
      <c r="AG214" s="5">
        <v>0</v>
      </c>
      <c r="AH214" s="5" t="str">
        <f>IF(AG214=0,"Normal",
IF(AND(T214="Yes",S214&gt;=2),"ALD",
IF(AND(T214="Yes",S214&gt;=2,O214&gt;N214),"ALD",
IF(AND(T214="No",S214&gt;=2),"ALD",
IF(AND(G214&gt;=25,OR(T214="No",AND(T214="Yes",S214&lt;1))),"NAFLD",
IF(AND(N214&gt;O214,N214&gt;40,S214&lt;1),"NAFLD",
IF(AND(T214="Yes",S214&lt;1,G214&gt;=25,N214&gt;O214),"NAFLD",
IF(OR(P214&gt;1.2,Q214&gt;0.3),"Hyperbilirubinemia",
"Others"))))))))</f>
        <v>Normal</v>
      </c>
      <c r="AI214" s="5" t="str">
        <f>IF(AG214=0,"Normal",
IF(AND(T214="Yes",S214&gt;=2),"ALD (Confirmed)",
IF(AND(T214="Yes",S214&gt;=2,O214&gt;N214),"ALD (Confirmed)",
IF(AND(T214="No",S214&gt;=2),"ALD (Probable)",
IF(AND(G214&gt;=25,OR(T214="No",AND(T214="Yes",S214&lt;1))),"NAFLD",
IF(AND(N214&gt;O214,N214&gt;40,S214&lt;1),"NAFLD",
IF(AND(T214="Yes",S214&lt;1,G214&gt;=25,N214&gt;O214),"NAFLD",
IF(OR(P214&gt;1.2,Q214&gt;0.3),"Hyperbilirubinemia",
"Others"))))))))</f>
        <v>Normal</v>
      </c>
      <c r="AJ214" s="5">
        <v>12</v>
      </c>
      <c r="AK214" s="5" t="s">
        <v>34</v>
      </c>
    </row>
    <row r="215" spans="1:37" ht="43.2" x14ac:dyDescent="0.3">
      <c r="A215" s="5">
        <v>221</v>
      </c>
      <c r="B215" s="5" t="s">
        <v>39</v>
      </c>
      <c r="C215" s="5">
        <v>24</v>
      </c>
      <c r="D215" s="2">
        <v>3</v>
      </c>
      <c r="E215" s="5">
        <v>156</v>
      </c>
      <c r="F215" s="5">
        <v>62</v>
      </c>
      <c r="G215" s="6">
        <v>25.476660092044707</v>
      </c>
      <c r="H215" s="9" t="s">
        <v>42</v>
      </c>
      <c r="I215" s="2">
        <v>30</v>
      </c>
      <c r="J215" s="5" t="s">
        <v>44</v>
      </c>
      <c r="K215" s="5" t="s">
        <v>44</v>
      </c>
      <c r="L215" s="5" t="s">
        <v>44</v>
      </c>
      <c r="M215" s="5" t="s">
        <v>44</v>
      </c>
      <c r="N215" s="5">
        <v>26.6</v>
      </c>
      <c r="O215" s="5">
        <v>32.1</v>
      </c>
      <c r="P215" s="5">
        <v>0.35</v>
      </c>
      <c r="Q215" s="5">
        <v>0.12</v>
      </c>
      <c r="R215" s="5">
        <v>0.23</v>
      </c>
      <c r="S215" s="8">
        <v>1.2067669172932332</v>
      </c>
      <c r="T215" s="5" t="s">
        <v>44</v>
      </c>
      <c r="U215" s="5"/>
      <c r="V215" s="5"/>
      <c r="W215" s="5"/>
      <c r="X215" s="5"/>
      <c r="Y215" s="5" t="s">
        <v>44</v>
      </c>
      <c r="Z215" s="5"/>
      <c r="AA215" s="5"/>
      <c r="AB215" s="9" t="s">
        <v>44</v>
      </c>
      <c r="AC215" s="2" t="s">
        <v>46</v>
      </c>
      <c r="AD215" s="2">
        <v>0</v>
      </c>
      <c r="AE215" s="2" t="s">
        <v>52</v>
      </c>
      <c r="AF215" s="2" t="str">
        <f t="shared" si="3"/>
        <v>Normal</v>
      </c>
      <c r="AG215" s="5">
        <v>0</v>
      </c>
      <c r="AH215" s="5" t="str">
        <f>IF(AG215=0,"Normal",
IF(AND(T215="Yes",S215&gt;=2),"ALD",
IF(AND(T215="Yes",S215&gt;=2,O215&gt;N215),"ALD",
IF(AND(T215="No",S215&gt;=2),"ALD",
IF(AND(G215&gt;=25,OR(T215="No",AND(T215="Yes",S215&lt;1))),"NAFLD",
IF(AND(N215&gt;O215,N215&gt;40,S215&lt;1),"NAFLD",
IF(AND(T215="Yes",S215&lt;1,G215&gt;=25,N215&gt;O215),"NAFLD",
IF(OR(P215&gt;1.2,Q215&gt;0.3),"Hyperbilirubinemia",
"Others"))))))))</f>
        <v>Normal</v>
      </c>
      <c r="AI215" s="5" t="str">
        <f>IF(AG215=0,"Normal",
IF(AND(T215="Yes",S215&gt;=2),"ALD (Confirmed)",
IF(AND(T215="Yes",S215&gt;=2,O215&gt;N215),"ALD (Confirmed)",
IF(AND(T215="No",S215&gt;=2),"ALD (Probable)",
IF(AND(G215&gt;=25,OR(T215="No",AND(T215="Yes",S215&lt;1))),"NAFLD",
IF(AND(N215&gt;O215,N215&gt;40,S215&lt;1),"NAFLD",
IF(AND(T215="Yes",S215&lt;1,G215&gt;=25,N215&gt;O215),"NAFLD",
IF(OR(P215&gt;1.2,Q215&gt;0.3),"Hyperbilirubinemia",
"Others"))))))))</f>
        <v>Normal</v>
      </c>
      <c r="AJ215" s="5">
        <v>10</v>
      </c>
      <c r="AK215" s="5" t="s">
        <v>34</v>
      </c>
    </row>
    <row r="216" spans="1:37" ht="43.2" x14ac:dyDescent="0.3">
      <c r="A216" s="5">
        <v>222</v>
      </c>
      <c r="B216" s="5" t="s">
        <v>39</v>
      </c>
      <c r="C216" s="5">
        <v>33</v>
      </c>
      <c r="D216" s="2">
        <v>9</v>
      </c>
      <c r="E216" s="5">
        <v>163</v>
      </c>
      <c r="F216" s="5">
        <v>60</v>
      </c>
      <c r="G216" s="6">
        <v>22.582709172343712</v>
      </c>
      <c r="H216" s="9" t="s">
        <v>33</v>
      </c>
      <c r="I216" s="2">
        <v>32</v>
      </c>
      <c r="J216" s="5" t="s">
        <v>44</v>
      </c>
      <c r="K216" s="5" t="s">
        <v>44</v>
      </c>
      <c r="L216" s="5" t="s">
        <v>44</v>
      </c>
      <c r="M216" s="5" t="s">
        <v>44</v>
      </c>
      <c r="N216" s="5">
        <v>30</v>
      </c>
      <c r="O216" s="5">
        <v>39.799999999999997</v>
      </c>
      <c r="P216" s="5">
        <v>0.43</v>
      </c>
      <c r="Q216" s="5">
        <v>0.1</v>
      </c>
      <c r="R216" s="5">
        <v>0.33</v>
      </c>
      <c r="S216" s="8">
        <v>1.3266666666666667</v>
      </c>
      <c r="T216" s="5" t="s">
        <v>44</v>
      </c>
      <c r="U216" s="5"/>
      <c r="V216" s="5"/>
      <c r="W216" s="5"/>
      <c r="X216" s="5"/>
      <c r="Y216" s="5" t="s">
        <v>44</v>
      </c>
      <c r="Z216" s="5"/>
      <c r="AA216" s="5"/>
      <c r="AB216" s="9" t="s">
        <v>44</v>
      </c>
      <c r="AC216" s="2" t="s">
        <v>46</v>
      </c>
      <c r="AD216" s="2">
        <v>0</v>
      </c>
      <c r="AE216" s="2" t="s">
        <v>49</v>
      </c>
      <c r="AF216" s="2" t="str">
        <f t="shared" si="3"/>
        <v>Normal</v>
      </c>
      <c r="AG216" s="5">
        <v>0</v>
      </c>
      <c r="AH216" s="5" t="str">
        <f>IF(AG216=0,"Normal",
IF(AND(T216="Yes",S216&gt;=2),"ALD",
IF(AND(T216="Yes",S216&gt;=2,O216&gt;N216),"ALD",
IF(AND(T216="No",S216&gt;=2),"ALD",
IF(AND(G216&gt;=25,OR(T216="No",AND(T216="Yes",S216&lt;1))),"NAFLD",
IF(AND(N216&gt;O216,N216&gt;40,S216&lt;1),"NAFLD",
IF(AND(T216="Yes",S216&lt;1,G216&gt;=25,N216&gt;O216),"NAFLD",
IF(OR(P216&gt;1.2,Q216&gt;0.3),"Hyperbilirubinemia",
"Others"))))))))</f>
        <v>Normal</v>
      </c>
      <c r="AI216" s="5" t="str">
        <f>IF(AG216=0,"Normal",
IF(AND(T216="Yes",S216&gt;=2),"ALD (Confirmed)",
IF(AND(T216="Yes",S216&gt;=2,O216&gt;N216),"ALD (Confirmed)",
IF(AND(T216="No",S216&gt;=2),"ALD (Probable)",
IF(AND(G216&gt;=25,OR(T216="No",AND(T216="Yes",S216&lt;1))),"NAFLD",
IF(AND(N216&gt;O216,N216&gt;40,S216&lt;1),"NAFLD",
IF(AND(T216="Yes",S216&lt;1,G216&gt;=25,N216&gt;O216),"NAFLD",
IF(OR(P216&gt;1.2,Q216&gt;0.3),"Hyperbilirubinemia",
"Others"))))))))</f>
        <v>Normal</v>
      </c>
      <c r="AJ216" s="5">
        <v>6</v>
      </c>
      <c r="AK216" s="5" t="s">
        <v>34</v>
      </c>
    </row>
    <row r="217" spans="1:37" ht="43.2" x14ac:dyDescent="0.3">
      <c r="A217" s="5">
        <v>223</v>
      </c>
      <c r="B217" s="5" t="s">
        <v>39</v>
      </c>
      <c r="C217" s="5">
        <v>34</v>
      </c>
      <c r="D217" s="2">
        <v>5</v>
      </c>
      <c r="E217" s="5">
        <v>159</v>
      </c>
      <c r="F217" s="5">
        <v>57</v>
      </c>
      <c r="G217" s="6">
        <v>22.546576480360745</v>
      </c>
      <c r="H217" s="9" t="s">
        <v>33</v>
      </c>
      <c r="I217" s="2">
        <v>32</v>
      </c>
      <c r="J217" s="5" t="s">
        <v>44</v>
      </c>
      <c r="K217" s="5" t="s">
        <v>44</v>
      </c>
      <c r="L217" s="5" t="s">
        <v>44</v>
      </c>
      <c r="M217" s="5" t="s">
        <v>44</v>
      </c>
      <c r="N217" s="5">
        <v>76.400000000000006</v>
      </c>
      <c r="O217" s="5">
        <v>46.8</v>
      </c>
      <c r="P217" s="5">
        <v>0.91</v>
      </c>
      <c r="Q217" s="5">
        <v>0.11</v>
      </c>
      <c r="R217" s="5">
        <v>0.8</v>
      </c>
      <c r="S217" s="8">
        <v>0.61256544502617793</v>
      </c>
      <c r="T217" s="5" t="s">
        <v>44</v>
      </c>
      <c r="U217" s="5"/>
      <c r="V217" s="5"/>
      <c r="W217" s="5"/>
      <c r="X217" s="5"/>
      <c r="Y217" s="5" t="s">
        <v>44</v>
      </c>
      <c r="Z217" s="5"/>
      <c r="AA217" s="5"/>
      <c r="AB217" s="9" t="s">
        <v>44</v>
      </c>
      <c r="AC217" s="2" t="s">
        <v>46</v>
      </c>
      <c r="AD217" s="2">
        <v>0</v>
      </c>
      <c r="AE217" s="2" t="s">
        <v>49</v>
      </c>
      <c r="AF217" s="2" t="str">
        <f t="shared" si="3"/>
        <v>Abnormal</v>
      </c>
      <c r="AG217" s="5">
        <v>1</v>
      </c>
      <c r="AH217" s="5" t="str">
        <f>IF(AG217=0,"Normal",
IF(AND(T217="Yes",S217&gt;=2),"ALD",
IF(AND(T217="Yes",S217&gt;=2,O217&gt;N217),"ALD",
IF(AND(T217="No",S217&gt;=2),"ALD",
IF(AND(G217&gt;=25,OR(T217="No",AND(T217="Yes",S217&lt;1))),"NAFLD",
IF(AND(N217&gt;O217,N217&gt;40,S217&lt;1),"NAFLD",
IF(AND(T217="Yes",S217&lt;1,G217&gt;=25,N217&gt;O217),"NAFLD",
IF(OR(P217&gt;1.2,Q217&gt;0.3),"Hyperbilirubinemia",
"Others"))))))))</f>
        <v>NAFLD</v>
      </c>
      <c r="AI217" s="5" t="str">
        <f>IF(AG217=0,"Normal",
IF(AND(T217="Yes",S217&gt;=2),"ALD (Confirmed)",
IF(AND(T217="Yes",S217&gt;=2,O217&gt;N217),"ALD (Confirmed)",
IF(AND(T217="No",S217&gt;=2),"ALD (Probable)",
IF(AND(G217&gt;=25,OR(T217="No",AND(T217="Yes",S217&lt;1))),"NAFLD",
IF(AND(N217&gt;O217,N217&gt;40,S217&lt;1),"NAFLD",
IF(AND(T217="Yes",S217&lt;1,G217&gt;=25,N217&gt;O217),"NAFLD",
IF(OR(P217&gt;1.2,Q217&gt;0.3),"Hyperbilirubinemia",
"Others"))))))))</f>
        <v>NAFLD</v>
      </c>
      <c r="AJ217" s="5">
        <v>15</v>
      </c>
      <c r="AK217" s="5" t="s">
        <v>34</v>
      </c>
    </row>
    <row r="218" spans="1:37" ht="43.2" x14ac:dyDescent="0.3">
      <c r="A218" s="5">
        <v>224</v>
      </c>
      <c r="B218" s="5" t="s">
        <v>39</v>
      </c>
      <c r="C218" s="5">
        <v>36</v>
      </c>
      <c r="D218" s="2">
        <v>6</v>
      </c>
      <c r="E218" s="5">
        <v>158</v>
      </c>
      <c r="F218" s="5">
        <v>56</v>
      </c>
      <c r="G218" s="6">
        <v>22.432302515622496</v>
      </c>
      <c r="H218" s="9" t="s">
        <v>33</v>
      </c>
      <c r="I218" s="2">
        <v>30</v>
      </c>
      <c r="J218" s="5" t="s">
        <v>44</v>
      </c>
      <c r="K218" s="5" t="s">
        <v>44</v>
      </c>
      <c r="L218" s="5" t="s">
        <v>44</v>
      </c>
      <c r="M218" s="5" t="s">
        <v>44</v>
      </c>
      <c r="N218" s="5">
        <v>52</v>
      </c>
      <c r="O218" s="5">
        <v>35.200000000000003</v>
      </c>
      <c r="P218" s="5">
        <v>0.3</v>
      </c>
      <c r="Q218" s="5">
        <v>0.01</v>
      </c>
      <c r="R218" s="5">
        <v>0.28999999999999998</v>
      </c>
      <c r="S218" s="8">
        <v>0.67692307692307696</v>
      </c>
      <c r="T218" s="5" t="s">
        <v>44</v>
      </c>
      <c r="U218" s="5"/>
      <c r="V218" s="5"/>
      <c r="W218" s="5"/>
      <c r="X218" s="5"/>
      <c r="Y218" s="5" t="s">
        <v>44</v>
      </c>
      <c r="Z218" s="5"/>
      <c r="AA218" s="5"/>
      <c r="AB218" s="9" t="s">
        <v>44</v>
      </c>
      <c r="AC218" s="2" t="s">
        <v>46</v>
      </c>
      <c r="AD218" s="2">
        <v>0</v>
      </c>
      <c r="AE218" s="2" t="s">
        <v>52</v>
      </c>
      <c r="AF218" s="2" t="str">
        <f t="shared" si="3"/>
        <v>Normal</v>
      </c>
      <c r="AG218" s="5">
        <v>0</v>
      </c>
      <c r="AH218" s="5" t="str">
        <f>IF(AG218=0,"Normal",
IF(AND(T218="Yes",S218&gt;=2),"ALD",
IF(AND(T218="Yes",S218&gt;=2,O218&gt;N218),"ALD",
IF(AND(T218="No",S218&gt;=2),"ALD",
IF(AND(G218&gt;=25,OR(T218="No",AND(T218="Yes",S218&lt;1))),"NAFLD",
IF(AND(N218&gt;O218,N218&gt;40,S218&lt;1),"NAFLD",
IF(AND(T218="Yes",S218&lt;1,G218&gt;=25,N218&gt;O218),"NAFLD",
IF(OR(P218&gt;1.2,Q218&gt;0.3),"Hyperbilirubinemia",
"Others"))))))))</f>
        <v>Normal</v>
      </c>
      <c r="AI218" s="5" t="str">
        <f>IF(AG218=0,"Normal",
IF(AND(T218="Yes",S218&gt;=2),"ALD (Confirmed)",
IF(AND(T218="Yes",S218&gt;=2,O218&gt;N218),"ALD (Confirmed)",
IF(AND(T218="No",S218&gt;=2),"ALD (Probable)",
IF(AND(G218&gt;=25,OR(T218="No",AND(T218="Yes",S218&lt;1))),"NAFLD",
IF(AND(N218&gt;O218,N218&gt;40,S218&lt;1),"NAFLD",
IF(AND(T218="Yes",S218&lt;1,G218&gt;=25,N218&gt;O218),"NAFLD",
IF(OR(P218&gt;1.2,Q218&gt;0.3),"Hyperbilirubinemia",
"Others"))))))))</f>
        <v>Normal</v>
      </c>
      <c r="AJ218" s="5">
        <v>10</v>
      </c>
      <c r="AK218" s="5" t="s">
        <v>34</v>
      </c>
    </row>
    <row r="219" spans="1:37" ht="43.2" x14ac:dyDescent="0.3">
      <c r="A219" s="5">
        <v>225</v>
      </c>
      <c r="B219" s="5" t="s">
        <v>39</v>
      </c>
      <c r="C219" s="5">
        <v>32</v>
      </c>
      <c r="D219" s="2">
        <v>9</v>
      </c>
      <c r="E219" s="5">
        <v>165</v>
      </c>
      <c r="F219" s="5">
        <v>66</v>
      </c>
      <c r="G219" s="6">
        <v>24.242424242424242</v>
      </c>
      <c r="H219" s="9" t="s">
        <v>33</v>
      </c>
      <c r="I219" s="2">
        <v>32</v>
      </c>
      <c r="J219" s="5" t="s">
        <v>44</v>
      </c>
      <c r="K219" s="5" t="s">
        <v>44</v>
      </c>
      <c r="L219" s="5" t="s">
        <v>44</v>
      </c>
      <c r="M219" s="5" t="s">
        <v>44</v>
      </c>
      <c r="N219" s="5">
        <v>29.8</v>
      </c>
      <c r="O219" s="5">
        <v>39.799999999999997</v>
      </c>
      <c r="P219" s="5">
        <v>0.2</v>
      </c>
      <c r="Q219" s="5">
        <v>0.04</v>
      </c>
      <c r="R219" s="5">
        <v>0.16</v>
      </c>
      <c r="S219" s="8">
        <v>1.3355704697986577</v>
      </c>
      <c r="T219" s="5" t="s">
        <v>44</v>
      </c>
      <c r="U219" s="5"/>
      <c r="V219" s="5"/>
      <c r="W219" s="5"/>
      <c r="X219" s="5"/>
      <c r="Y219" s="5" t="s">
        <v>44</v>
      </c>
      <c r="Z219" s="5"/>
      <c r="AA219" s="5"/>
      <c r="AB219" s="9" t="s">
        <v>44</v>
      </c>
      <c r="AC219" s="2" t="s">
        <v>46</v>
      </c>
      <c r="AD219" s="2">
        <v>0</v>
      </c>
      <c r="AE219" s="2" t="s">
        <v>49</v>
      </c>
      <c r="AF219" s="2" t="str">
        <f t="shared" si="3"/>
        <v>Normal</v>
      </c>
      <c r="AG219" s="5">
        <v>0</v>
      </c>
      <c r="AH219" s="5" t="str">
        <f>IF(AG219=0,"Normal",
IF(AND(T219="Yes",S219&gt;=2),"ALD",
IF(AND(T219="Yes",S219&gt;=2,O219&gt;N219),"ALD",
IF(AND(T219="No",S219&gt;=2),"ALD",
IF(AND(G219&gt;=25,OR(T219="No",AND(T219="Yes",S219&lt;1))),"NAFLD",
IF(AND(N219&gt;O219,N219&gt;40,S219&lt;1),"NAFLD",
IF(AND(T219="Yes",S219&lt;1,G219&gt;=25,N219&gt;O219),"NAFLD",
IF(OR(P219&gt;1.2,Q219&gt;0.3),"Hyperbilirubinemia",
"Others"))))))))</f>
        <v>Normal</v>
      </c>
      <c r="AI219" s="5" t="str">
        <f>IF(AG219=0,"Normal",
IF(AND(T219="Yes",S219&gt;=2),"ALD (Confirmed)",
IF(AND(T219="Yes",S219&gt;=2,O219&gt;N219),"ALD (Confirmed)",
IF(AND(T219="No",S219&gt;=2),"ALD (Probable)",
IF(AND(G219&gt;=25,OR(T219="No",AND(T219="Yes",S219&lt;1))),"NAFLD",
IF(AND(N219&gt;O219,N219&gt;40,S219&lt;1),"NAFLD",
IF(AND(T219="Yes",S219&lt;1,G219&gt;=25,N219&gt;O219),"NAFLD",
IF(OR(P219&gt;1.2,Q219&gt;0.3),"Hyperbilirubinemia",
"Others"))))))))</f>
        <v>Normal</v>
      </c>
      <c r="AJ219" s="5">
        <v>6</v>
      </c>
      <c r="AK219" s="5" t="s">
        <v>34</v>
      </c>
    </row>
    <row r="220" spans="1:37" ht="43.2" x14ac:dyDescent="0.3">
      <c r="A220" s="5">
        <v>227</v>
      </c>
      <c r="B220" s="5" t="s">
        <v>39</v>
      </c>
      <c r="C220" s="5">
        <v>28</v>
      </c>
      <c r="D220" s="2">
        <v>8</v>
      </c>
      <c r="E220" s="5">
        <v>175</v>
      </c>
      <c r="F220" s="5">
        <v>56</v>
      </c>
      <c r="G220" s="6">
        <v>18.285714285714285</v>
      </c>
      <c r="H220" s="9" t="s">
        <v>43</v>
      </c>
      <c r="I220" s="2">
        <v>30</v>
      </c>
      <c r="J220" s="5" t="s">
        <v>44</v>
      </c>
      <c r="K220" s="5" t="s">
        <v>44</v>
      </c>
      <c r="L220" s="5" t="s">
        <v>44</v>
      </c>
      <c r="M220" s="5" t="s">
        <v>44</v>
      </c>
      <c r="N220" s="5">
        <v>38.76</v>
      </c>
      <c r="O220" s="5">
        <v>48.73</v>
      </c>
      <c r="P220" s="5">
        <v>0.3</v>
      </c>
      <c r="Q220" s="5">
        <v>0.05</v>
      </c>
      <c r="R220" s="5">
        <v>0.25</v>
      </c>
      <c r="S220" s="8">
        <v>1.2572239422084623</v>
      </c>
      <c r="T220" s="5" t="s">
        <v>44</v>
      </c>
      <c r="U220" s="5"/>
      <c r="V220" s="5"/>
      <c r="W220" s="5"/>
      <c r="X220" s="5"/>
      <c r="Y220" s="5" t="s">
        <v>44</v>
      </c>
      <c r="Z220" s="5"/>
      <c r="AA220" s="5"/>
      <c r="AB220" s="9" t="s">
        <v>44</v>
      </c>
      <c r="AC220" s="2" t="s">
        <v>46</v>
      </c>
      <c r="AD220" s="2">
        <v>0</v>
      </c>
      <c r="AE220" s="2" t="s">
        <v>49</v>
      </c>
      <c r="AF220" s="2" t="str">
        <f t="shared" si="3"/>
        <v>Abnormal</v>
      </c>
      <c r="AG220" s="5">
        <v>1</v>
      </c>
      <c r="AH220" s="5" t="str">
        <f>IF(AG220=0,"Normal",
IF(AND(T220="Yes",S220&gt;=2),"ALD",
IF(AND(T220="Yes",S220&gt;=2,O220&gt;N220),"ALD",
IF(AND(T220="No",S220&gt;=2),"ALD",
IF(AND(G220&gt;=25,OR(T220="No",AND(T220="Yes",S220&lt;1))),"NAFLD",
IF(AND(N220&gt;O220,N220&gt;40,S220&lt;1),"NAFLD",
IF(AND(T220="Yes",S220&lt;1,G220&gt;=25,N220&gt;O220),"NAFLD",
IF(OR(P220&gt;1.2,Q220&gt;0.3),"Hyperbilirubinemia",
"Others"))))))))</f>
        <v>Others</v>
      </c>
      <c r="AI220" s="5" t="str">
        <f>IF(AG220=0,"Normal",
IF(AND(T220="Yes",S220&gt;=2),"ALD (Confirmed)",
IF(AND(T220="Yes",S220&gt;=2,O220&gt;N220),"ALD (Confirmed)",
IF(AND(T220="No",S220&gt;=2),"ALD (Probable)",
IF(AND(G220&gt;=25,OR(T220="No",AND(T220="Yes",S220&lt;1))),"NAFLD",
IF(AND(N220&gt;O220,N220&gt;40,S220&lt;1),"NAFLD",
IF(AND(T220="Yes",S220&lt;1,G220&gt;=25,N220&gt;O220),"NAFLD",
IF(OR(P220&gt;1.2,Q220&gt;0.3),"Hyperbilirubinemia",
"Others"))))))))</f>
        <v>Others</v>
      </c>
      <c r="AJ220" s="5">
        <v>9</v>
      </c>
      <c r="AK220" s="5" t="s">
        <v>34</v>
      </c>
    </row>
    <row r="221" spans="1:37" ht="43.2" x14ac:dyDescent="0.3">
      <c r="A221" s="5">
        <v>228</v>
      </c>
      <c r="B221" s="5" t="s">
        <v>39</v>
      </c>
      <c r="C221" s="5">
        <v>32</v>
      </c>
      <c r="D221" s="2">
        <v>2</v>
      </c>
      <c r="E221" s="5">
        <v>163</v>
      </c>
      <c r="F221" s="5">
        <v>60</v>
      </c>
      <c r="G221" s="6">
        <v>22.582709172343712</v>
      </c>
      <c r="H221" s="9" t="s">
        <v>33</v>
      </c>
      <c r="I221" s="2">
        <v>32</v>
      </c>
      <c r="J221" s="5" t="s">
        <v>44</v>
      </c>
      <c r="K221" s="5" t="s">
        <v>44</v>
      </c>
      <c r="L221" s="5" t="s">
        <v>44</v>
      </c>
      <c r="M221" s="5" t="s">
        <v>44</v>
      </c>
      <c r="N221" s="5">
        <v>40.049999999999997</v>
      </c>
      <c r="O221" s="5">
        <v>53.53</v>
      </c>
      <c r="P221" s="5">
        <v>0.5</v>
      </c>
      <c r="Q221" s="5">
        <v>0.01</v>
      </c>
      <c r="R221" s="5">
        <v>0.49</v>
      </c>
      <c r="S221" s="8">
        <v>1.3365792759051187</v>
      </c>
      <c r="T221" s="5" t="s">
        <v>45</v>
      </c>
      <c r="U221" s="5" t="s">
        <v>56</v>
      </c>
      <c r="V221" s="5" t="s">
        <v>61</v>
      </c>
      <c r="W221" s="5" t="s">
        <v>65</v>
      </c>
      <c r="X221" s="5" t="s">
        <v>68</v>
      </c>
      <c r="Y221" s="5" t="s">
        <v>44</v>
      </c>
      <c r="Z221" s="5"/>
      <c r="AA221" s="5"/>
      <c r="AB221" s="9" t="s">
        <v>44</v>
      </c>
      <c r="AC221" s="2" t="s">
        <v>46</v>
      </c>
      <c r="AD221" s="2">
        <v>0</v>
      </c>
      <c r="AE221" s="2" t="s">
        <v>52</v>
      </c>
      <c r="AF221" s="2" t="str">
        <f t="shared" si="3"/>
        <v>Abnormal</v>
      </c>
      <c r="AG221" s="5">
        <v>1</v>
      </c>
      <c r="AH221" s="5" t="str">
        <f>IF(AG221=0,"Normal",
IF(AND(T221="Yes",S221&gt;=2),"ALD",
IF(AND(T221="Yes",S221&gt;=2,O221&gt;N221),"ALD",
IF(AND(T221="No",S221&gt;=2),"ALD",
IF(AND(G221&gt;=25,OR(T221="No",AND(T221="Yes",S221&lt;1))),"NAFLD",
IF(AND(N221&gt;O221,N221&gt;40,S221&lt;1),"NAFLD",
IF(AND(T221="Yes",S221&lt;1,G221&gt;=25,N221&gt;O221),"NAFLD",
IF(OR(P221&gt;1.2,Q221&gt;0.3),"Hyperbilirubinemia",
"Others"))))))))</f>
        <v>Others</v>
      </c>
      <c r="AI221" s="5" t="str">
        <f>IF(AG221=0,"Normal",
IF(AND(T221="Yes",S221&gt;=2),"ALD (Confirmed)",
IF(AND(T221="Yes",S221&gt;=2,O221&gt;N221),"ALD (Confirmed)",
IF(AND(T221="No",S221&gt;=2),"ALD (Probable)",
IF(AND(G221&gt;=25,OR(T221="No",AND(T221="Yes",S221&lt;1))),"NAFLD",
IF(AND(N221&gt;O221,N221&gt;40,S221&lt;1),"NAFLD",
IF(AND(T221="Yes",S221&lt;1,G221&gt;=25,N221&gt;O221),"NAFLD",
IF(OR(P221&gt;1.2,Q221&gt;0.3),"Hyperbilirubinemia",
"Others"))))))))</f>
        <v>Others</v>
      </c>
      <c r="AJ221" s="5">
        <v>20</v>
      </c>
      <c r="AK221" s="5" t="s">
        <v>34</v>
      </c>
    </row>
    <row r="222" spans="1:37" ht="28.8" x14ac:dyDescent="0.3">
      <c r="A222" s="5">
        <v>229</v>
      </c>
      <c r="B222" s="5" t="s">
        <v>39</v>
      </c>
      <c r="C222" s="5">
        <v>28</v>
      </c>
      <c r="D222" s="2">
        <v>3</v>
      </c>
      <c r="E222" s="5">
        <v>160</v>
      </c>
      <c r="F222" s="5">
        <v>54</v>
      </c>
      <c r="G222" s="6">
        <v>21.09375</v>
      </c>
      <c r="H222" s="9" t="s">
        <v>33</v>
      </c>
      <c r="I222" s="2">
        <v>28</v>
      </c>
      <c r="J222" s="5" t="s">
        <v>44</v>
      </c>
      <c r="K222" s="5" t="s">
        <v>44</v>
      </c>
      <c r="L222" s="5" t="s">
        <v>44</v>
      </c>
      <c r="M222" s="5" t="s">
        <v>44</v>
      </c>
      <c r="N222" s="5">
        <v>20.2</v>
      </c>
      <c r="O222" s="5">
        <v>39.200000000000003</v>
      </c>
      <c r="P222" s="5">
        <v>0.88</v>
      </c>
      <c r="Q222" s="5">
        <v>0.1</v>
      </c>
      <c r="R222" s="5">
        <v>0.78</v>
      </c>
      <c r="S222" s="8">
        <v>1.9405940594059408</v>
      </c>
      <c r="T222" s="5" t="s">
        <v>44</v>
      </c>
      <c r="U222" s="5"/>
      <c r="V222" s="5"/>
      <c r="W222" s="5"/>
      <c r="X222" s="5"/>
      <c r="Y222" s="5" t="s">
        <v>44</v>
      </c>
      <c r="Z222" s="5"/>
      <c r="AA222" s="5"/>
      <c r="AB222" s="9" t="s">
        <v>44</v>
      </c>
      <c r="AC222" s="2" t="s">
        <v>47</v>
      </c>
      <c r="AD222" s="2">
        <v>0</v>
      </c>
      <c r="AE222" s="2" t="s">
        <v>49</v>
      </c>
      <c r="AF222" s="2" t="str">
        <f t="shared" si="3"/>
        <v>Normal</v>
      </c>
      <c r="AG222" s="5">
        <v>0</v>
      </c>
      <c r="AH222" s="5" t="str">
        <f>IF(AG222=0,"Normal",
IF(AND(T222="Yes",S222&gt;=2),"ALD",
IF(AND(T222="Yes",S222&gt;=2,O222&gt;N222),"ALD",
IF(AND(T222="No",S222&gt;=2),"ALD",
IF(AND(G222&gt;=25,OR(T222="No",AND(T222="Yes",S222&lt;1))),"NAFLD",
IF(AND(N222&gt;O222,N222&gt;40,S222&lt;1),"NAFLD",
IF(AND(T222="Yes",S222&lt;1,G222&gt;=25,N222&gt;O222),"NAFLD",
IF(OR(P222&gt;1.2,Q222&gt;0.3),"Hyperbilirubinemia",
"Others"))))))))</f>
        <v>Normal</v>
      </c>
      <c r="AI222" s="5" t="str">
        <f>IF(AG222=0,"Normal",
IF(AND(T222="Yes",S222&gt;=2),"ALD (Confirmed)",
IF(AND(T222="Yes",S222&gt;=2,O222&gt;N222),"ALD (Confirmed)",
IF(AND(T222="No",S222&gt;=2),"ALD (Probable)",
IF(AND(G222&gt;=25,OR(T222="No",AND(T222="Yes",S222&lt;1))),"NAFLD",
IF(AND(N222&gt;O222,N222&gt;40,S222&lt;1),"NAFLD",
IF(AND(T222="Yes",S222&lt;1,G222&gt;=25,N222&gt;O222),"NAFLD",
IF(OR(P222&gt;1.2,Q222&gt;0.3),"Hyperbilirubinemia",
"Others"))))))))</f>
        <v>Normal</v>
      </c>
      <c r="AJ222" s="5">
        <v>4</v>
      </c>
      <c r="AK222" s="5" t="s">
        <v>34</v>
      </c>
    </row>
    <row r="223" spans="1:37" ht="43.2" x14ac:dyDescent="0.3">
      <c r="A223" s="5">
        <v>230</v>
      </c>
      <c r="B223" s="5" t="s">
        <v>39</v>
      </c>
      <c r="C223" s="5">
        <v>26</v>
      </c>
      <c r="D223" s="2">
        <v>7</v>
      </c>
      <c r="E223" s="5">
        <v>170</v>
      </c>
      <c r="F223" s="5">
        <v>70</v>
      </c>
      <c r="G223" s="6">
        <v>24.221453287197232</v>
      </c>
      <c r="H223" s="9" t="s">
        <v>33</v>
      </c>
      <c r="I223" s="2">
        <v>32</v>
      </c>
      <c r="J223" s="5" t="s">
        <v>44</v>
      </c>
      <c r="K223" s="5" t="s">
        <v>44</v>
      </c>
      <c r="L223" s="5" t="s">
        <v>44</v>
      </c>
      <c r="M223" s="5" t="s">
        <v>44</v>
      </c>
      <c r="N223" s="5">
        <v>37.5</v>
      </c>
      <c r="O223" s="5">
        <v>36.9</v>
      </c>
      <c r="P223" s="5">
        <v>0.66</v>
      </c>
      <c r="Q223" s="5">
        <v>0.12</v>
      </c>
      <c r="R223" s="5">
        <v>0.54</v>
      </c>
      <c r="S223" s="8">
        <v>0.98399999999999999</v>
      </c>
      <c r="T223" s="5" t="s">
        <v>44</v>
      </c>
      <c r="U223" s="5"/>
      <c r="V223" s="5"/>
      <c r="W223" s="5"/>
      <c r="X223" s="5"/>
      <c r="Y223" s="5" t="s">
        <v>44</v>
      </c>
      <c r="Z223" s="5"/>
      <c r="AA223" s="5"/>
      <c r="AB223" s="9" t="s">
        <v>44</v>
      </c>
      <c r="AC223" s="2" t="s">
        <v>46</v>
      </c>
      <c r="AD223" s="2">
        <v>0</v>
      </c>
      <c r="AE223" s="2" t="s">
        <v>52</v>
      </c>
      <c r="AF223" s="2" t="str">
        <f t="shared" si="3"/>
        <v>Normal</v>
      </c>
      <c r="AG223" s="5">
        <v>0</v>
      </c>
      <c r="AH223" s="5" t="str">
        <f>IF(AG223=0,"Normal",
IF(AND(T223="Yes",S223&gt;=2),"ALD",
IF(AND(T223="Yes",S223&gt;=2,O223&gt;N223),"ALD",
IF(AND(T223="No",S223&gt;=2),"ALD",
IF(AND(G223&gt;=25,OR(T223="No",AND(T223="Yes",S223&lt;1))),"NAFLD",
IF(AND(N223&gt;O223,N223&gt;40,S223&lt;1),"NAFLD",
IF(AND(T223="Yes",S223&lt;1,G223&gt;=25,N223&gt;O223),"NAFLD",
IF(OR(P223&gt;1.2,Q223&gt;0.3),"Hyperbilirubinemia",
"Others"))))))))</f>
        <v>Normal</v>
      </c>
      <c r="AI223" s="5" t="str">
        <f>IF(AG223=0,"Normal",
IF(AND(T223="Yes",S223&gt;=2),"ALD (Confirmed)",
IF(AND(T223="Yes",S223&gt;=2,O223&gt;N223),"ALD (Confirmed)",
IF(AND(T223="No",S223&gt;=2),"ALD (Probable)",
IF(AND(G223&gt;=25,OR(T223="No",AND(T223="Yes",S223&lt;1))),"NAFLD",
IF(AND(N223&gt;O223,N223&gt;40,S223&lt;1),"NAFLD",
IF(AND(T223="Yes",S223&lt;1,G223&gt;=25,N223&gt;O223),"NAFLD",
IF(OR(P223&gt;1.2,Q223&gt;0.3),"Hyperbilirubinemia",
"Others"))))))))</f>
        <v>Normal</v>
      </c>
      <c r="AJ223" s="5">
        <v>6</v>
      </c>
      <c r="AK223" s="5" t="s">
        <v>34</v>
      </c>
    </row>
    <row r="224" spans="1:37" ht="43.2" x14ac:dyDescent="0.3">
      <c r="A224" s="5">
        <v>231</v>
      </c>
      <c r="B224" s="5" t="s">
        <v>39</v>
      </c>
      <c r="C224" s="5">
        <v>43</v>
      </c>
      <c r="D224" s="2">
        <v>12</v>
      </c>
      <c r="E224" s="5">
        <v>153</v>
      </c>
      <c r="F224" s="5">
        <v>53</v>
      </c>
      <c r="G224" s="6">
        <v>22.640864624716986</v>
      </c>
      <c r="H224" s="9" t="s">
        <v>33</v>
      </c>
      <c r="I224" s="2">
        <v>32</v>
      </c>
      <c r="J224" s="5" t="s">
        <v>45</v>
      </c>
      <c r="K224" s="5" t="s">
        <v>44</v>
      </c>
      <c r="L224" s="5" t="s">
        <v>44</v>
      </c>
      <c r="M224" s="5" t="s">
        <v>44</v>
      </c>
      <c r="N224" s="5">
        <v>27.8</v>
      </c>
      <c r="O224" s="5">
        <v>32.1</v>
      </c>
      <c r="P224" s="5">
        <v>0.55000000000000004</v>
      </c>
      <c r="Q224" s="5">
        <v>0.12</v>
      </c>
      <c r="R224" s="5">
        <v>0.43</v>
      </c>
      <c r="S224" s="8">
        <v>1.1546762589928057</v>
      </c>
      <c r="T224" s="5" t="s">
        <v>44</v>
      </c>
      <c r="U224" s="5"/>
      <c r="V224" s="5"/>
      <c r="W224" s="5"/>
      <c r="X224" s="5"/>
      <c r="Y224" s="5" t="s">
        <v>44</v>
      </c>
      <c r="Z224" s="5"/>
      <c r="AA224" s="5"/>
      <c r="AB224" s="9" t="s">
        <v>44</v>
      </c>
      <c r="AC224" s="2" t="s">
        <v>46</v>
      </c>
      <c r="AD224" s="2">
        <v>0</v>
      </c>
      <c r="AE224" s="2" t="s">
        <v>49</v>
      </c>
      <c r="AF224" s="2" t="str">
        <f t="shared" si="3"/>
        <v>Normal</v>
      </c>
      <c r="AG224" s="5">
        <v>0</v>
      </c>
      <c r="AH224" s="5" t="str">
        <f>IF(AG224=0,"Normal",
IF(AND(T224="Yes",S224&gt;=2),"ALD",
IF(AND(T224="Yes",S224&gt;=2,O224&gt;N224),"ALD",
IF(AND(T224="No",S224&gt;=2),"ALD",
IF(AND(G224&gt;=25,OR(T224="No",AND(T224="Yes",S224&lt;1))),"NAFLD",
IF(AND(N224&gt;O224,N224&gt;40,S224&lt;1),"NAFLD",
IF(AND(T224="Yes",S224&lt;1,G224&gt;=25,N224&gt;O224),"NAFLD",
IF(OR(P224&gt;1.2,Q224&gt;0.3),"Hyperbilirubinemia",
"Others"))))))))</f>
        <v>Normal</v>
      </c>
      <c r="AI224" s="5" t="str">
        <f>IF(AG224=0,"Normal",
IF(AND(T224="Yes",S224&gt;=2),"ALD (Confirmed)",
IF(AND(T224="Yes",S224&gt;=2,O224&gt;N224),"ALD (Confirmed)",
IF(AND(T224="No",S224&gt;=2),"ALD (Probable)",
IF(AND(G224&gt;=25,OR(T224="No",AND(T224="Yes",S224&lt;1))),"NAFLD",
IF(AND(N224&gt;O224,N224&gt;40,S224&lt;1),"NAFLD",
IF(AND(T224="Yes",S224&lt;1,G224&gt;=25,N224&gt;O224),"NAFLD",
IF(OR(P224&gt;1.2,Q224&gt;0.3),"Hyperbilirubinemia",
"Others"))))))))</f>
        <v>Normal</v>
      </c>
      <c r="AJ224" s="5">
        <v>11</v>
      </c>
      <c r="AK224" s="5" t="s">
        <v>34</v>
      </c>
    </row>
    <row r="225" spans="1:37" ht="43.2" x14ac:dyDescent="0.3">
      <c r="A225" s="5">
        <v>232</v>
      </c>
      <c r="B225" s="5" t="s">
        <v>39</v>
      </c>
      <c r="C225" s="5">
        <v>33</v>
      </c>
      <c r="D225" s="2">
        <v>4</v>
      </c>
      <c r="E225" s="5">
        <v>164</v>
      </c>
      <c r="F225" s="5">
        <v>56</v>
      </c>
      <c r="G225" s="6">
        <v>20.820939916716238</v>
      </c>
      <c r="H225" s="9" t="s">
        <v>33</v>
      </c>
      <c r="I225" s="2">
        <v>30</v>
      </c>
      <c r="J225" s="5" t="s">
        <v>44</v>
      </c>
      <c r="K225" s="5" t="s">
        <v>44</v>
      </c>
      <c r="L225" s="5" t="s">
        <v>44</v>
      </c>
      <c r="M225" s="5" t="s">
        <v>44</v>
      </c>
      <c r="N225" s="5">
        <v>14.22</v>
      </c>
      <c r="O225" s="5">
        <v>42.33</v>
      </c>
      <c r="P225" s="5">
        <v>0.7</v>
      </c>
      <c r="Q225" s="5">
        <v>0.11</v>
      </c>
      <c r="R225" s="5">
        <v>0.59</v>
      </c>
      <c r="S225" s="8">
        <v>2.9767932489451474</v>
      </c>
      <c r="T225" s="5" t="s">
        <v>44</v>
      </c>
      <c r="U225" s="5"/>
      <c r="V225" s="5"/>
      <c r="W225" s="5"/>
      <c r="X225" s="5"/>
      <c r="Y225" s="5" t="s">
        <v>44</v>
      </c>
      <c r="Z225" s="5"/>
      <c r="AA225" s="5"/>
      <c r="AB225" s="9" t="s">
        <v>44</v>
      </c>
      <c r="AC225" s="2" t="s">
        <v>46</v>
      </c>
      <c r="AD225" s="2">
        <v>0</v>
      </c>
      <c r="AE225" s="2" t="s">
        <v>52</v>
      </c>
      <c r="AF225" s="2" t="str">
        <f t="shared" si="3"/>
        <v>Abnormal</v>
      </c>
      <c r="AG225" s="5">
        <v>1</v>
      </c>
      <c r="AH225" s="5" t="str">
        <f>IF(AG225=0,"Normal",
IF(AND(T225="Yes",S225&gt;=2),"ALD",
IF(AND(T225="Yes",S225&gt;=2,O225&gt;N225),"ALD",
IF(AND(T225="No",S225&gt;=2),"ALD",
IF(AND(G225&gt;=25,OR(T225="No",AND(T225="Yes",S225&lt;1))),"NAFLD",
IF(AND(N225&gt;O225,N225&gt;40,S225&lt;1),"NAFLD",
IF(AND(T225="Yes",S225&lt;1,G225&gt;=25,N225&gt;O225),"NAFLD",
IF(OR(P225&gt;1.2,Q225&gt;0.3),"Hyperbilirubinemia",
"Others"))))))))</f>
        <v>ALD</v>
      </c>
      <c r="AI225" s="5" t="str">
        <f>IF(AG225=0,"Normal",
IF(AND(T225="Yes",S225&gt;=2),"ALD (Confirmed)",
IF(AND(T225="Yes",S225&gt;=2,O225&gt;N225),"ALD (Confirmed)",
IF(AND(T225="No",S225&gt;=2),"ALD (Probable)",
IF(AND(G225&gt;=25,OR(T225="No",AND(T225="Yes",S225&lt;1))),"NAFLD",
IF(AND(N225&gt;O225,N225&gt;40,S225&lt;1),"NAFLD",
IF(AND(T225="Yes",S225&lt;1,G225&gt;=25,N225&gt;O225),"NAFLD",
IF(OR(P225&gt;1.2,Q225&gt;0.3),"Hyperbilirubinemia",
"Others"))))))))</f>
        <v>ALD (Probable)</v>
      </c>
      <c r="AJ225" s="5">
        <v>9</v>
      </c>
      <c r="AK225" s="5" t="s">
        <v>34</v>
      </c>
    </row>
    <row r="226" spans="1:37" ht="43.2" x14ac:dyDescent="0.3">
      <c r="A226" s="5">
        <v>233</v>
      </c>
      <c r="B226" s="5" t="s">
        <v>39</v>
      </c>
      <c r="C226" s="5">
        <v>31</v>
      </c>
      <c r="D226" s="2">
        <v>4</v>
      </c>
      <c r="E226" s="5">
        <v>165</v>
      </c>
      <c r="F226" s="5">
        <v>60</v>
      </c>
      <c r="G226" s="6">
        <v>22.038567493112946</v>
      </c>
      <c r="H226" s="9" t="s">
        <v>33</v>
      </c>
      <c r="I226" s="2">
        <v>30</v>
      </c>
      <c r="J226" s="5" t="s">
        <v>44</v>
      </c>
      <c r="K226" s="5" t="s">
        <v>44</v>
      </c>
      <c r="L226" s="5" t="s">
        <v>44</v>
      </c>
      <c r="M226" s="5" t="s">
        <v>44</v>
      </c>
      <c r="N226" s="5">
        <v>22.4</v>
      </c>
      <c r="O226" s="5">
        <v>36.200000000000003</v>
      </c>
      <c r="P226" s="5">
        <v>0.44</v>
      </c>
      <c r="Q226" s="5">
        <v>0.02</v>
      </c>
      <c r="R226" s="5">
        <v>0.42</v>
      </c>
      <c r="S226" s="8">
        <v>1.6160714285714288</v>
      </c>
      <c r="T226" s="5" t="s">
        <v>44</v>
      </c>
      <c r="U226" s="5"/>
      <c r="V226" s="5"/>
      <c r="W226" s="5"/>
      <c r="X226" s="5"/>
      <c r="Y226" s="5" t="s">
        <v>44</v>
      </c>
      <c r="Z226" s="5"/>
      <c r="AA226" s="5"/>
      <c r="AB226" s="9" t="s">
        <v>44</v>
      </c>
      <c r="AC226" s="2" t="s">
        <v>46</v>
      </c>
      <c r="AD226" s="2">
        <v>0</v>
      </c>
      <c r="AE226" s="2" t="s">
        <v>48</v>
      </c>
      <c r="AF226" s="2" t="str">
        <f t="shared" si="3"/>
        <v>Normal</v>
      </c>
      <c r="AG226" s="5">
        <v>0</v>
      </c>
      <c r="AH226" s="5" t="str">
        <f>IF(AG226=0,"Normal",
IF(AND(T226="Yes",S226&gt;=2),"ALD",
IF(AND(T226="Yes",S226&gt;=2,O226&gt;N226),"ALD",
IF(AND(T226="No",S226&gt;=2),"ALD",
IF(AND(G226&gt;=25,OR(T226="No",AND(T226="Yes",S226&lt;1))),"NAFLD",
IF(AND(N226&gt;O226,N226&gt;40,S226&lt;1),"NAFLD",
IF(AND(T226="Yes",S226&lt;1,G226&gt;=25,N226&gt;O226),"NAFLD",
IF(OR(P226&gt;1.2,Q226&gt;0.3),"Hyperbilirubinemia",
"Others"))))))))</f>
        <v>Normal</v>
      </c>
      <c r="AI226" s="5" t="str">
        <f>IF(AG226=0,"Normal",
IF(AND(T226="Yes",S226&gt;=2),"ALD (Confirmed)",
IF(AND(T226="Yes",S226&gt;=2,O226&gt;N226),"ALD (Confirmed)",
IF(AND(T226="No",S226&gt;=2),"ALD (Probable)",
IF(AND(G226&gt;=25,OR(T226="No",AND(T226="Yes",S226&lt;1))),"NAFLD",
IF(AND(N226&gt;O226,N226&gt;40,S226&lt;1),"NAFLD",
IF(AND(T226="Yes",S226&lt;1,G226&gt;=25,N226&gt;O226),"NAFLD",
IF(OR(P226&gt;1.2,Q226&gt;0.3),"Hyperbilirubinemia",
"Others"))))))))</f>
        <v>Normal</v>
      </c>
      <c r="AJ226" s="5">
        <v>3</v>
      </c>
      <c r="AK226" s="5" t="s">
        <v>34</v>
      </c>
    </row>
    <row r="227" spans="1:37" ht="43.2" x14ac:dyDescent="0.3">
      <c r="A227" s="5">
        <v>234</v>
      </c>
      <c r="B227" s="5" t="s">
        <v>39</v>
      </c>
      <c r="C227" s="5">
        <v>51</v>
      </c>
      <c r="D227" s="2">
        <v>29</v>
      </c>
      <c r="E227" s="5">
        <v>155</v>
      </c>
      <c r="F227" s="5">
        <v>60</v>
      </c>
      <c r="G227" s="6">
        <v>24.973985431841829</v>
      </c>
      <c r="H227" s="9" t="s">
        <v>42</v>
      </c>
      <c r="I227" s="2">
        <v>32</v>
      </c>
      <c r="J227" s="5" t="s">
        <v>45</v>
      </c>
      <c r="K227" s="5" t="s">
        <v>44</v>
      </c>
      <c r="L227" s="5" t="s">
        <v>44</v>
      </c>
      <c r="M227" s="5" t="s">
        <v>44</v>
      </c>
      <c r="N227" s="5">
        <v>38.9</v>
      </c>
      <c r="O227" s="5">
        <v>32.6</v>
      </c>
      <c r="P227" s="5">
        <v>1.1200000000000001</v>
      </c>
      <c r="Q227" s="5">
        <v>0.24</v>
      </c>
      <c r="R227" s="5">
        <v>0.88</v>
      </c>
      <c r="S227" s="8">
        <v>0.83804627249357333</v>
      </c>
      <c r="T227" s="5" t="s">
        <v>45</v>
      </c>
      <c r="U227" s="5" t="s">
        <v>56</v>
      </c>
      <c r="V227" s="5" t="s">
        <v>59</v>
      </c>
      <c r="W227" s="5" t="s">
        <v>65</v>
      </c>
      <c r="X227" s="5" t="s">
        <v>68</v>
      </c>
      <c r="Y227" s="5" t="s">
        <v>45</v>
      </c>
      <c r="Z227" s="5" t="s">
        <v>77</v>
      </c>
      <c r="AA227" s="5" t="s">
        <v>79</v>
      </c>
      <c r="AB227" s="9" t="s">
        <v>44</v>
      </c>
      <c r="AC227" s="2" t="s">
        <v>46</v>
      </c>
      <c r="AD227" s="2">
        <v>0</v>
      </c>
      <c r="AE227" s="2" t="s">
        <v>52</v>
      </c>
      <c r="AF227" s="2" t="str">
        <f t="shared" si="3"/>
        <v>Normal</v>
      </c>
      <c r="AG227" s="5">
        <v>0</v>
      </c>
      <c r="AH227" s="5" t="str">
        <f>IF(AG227=0,"Normal",
IF(AND(T227="Yes",S227&gt;=2),"ALD",
IF(AND(T227="Yes",S227&gt;=2,O227&gt;N227),"ALD",
IF(AND(T227="No",S227&gt;=2),"ALD",
IF(AND(G227&gt;=25,OR(T227="No",AND(T227="Yes",S227&lt;1))),"NAFLD",
IF(AND(N227&gt;O227,N227&gt;40,S227&lt;1),"NAFLD",
IF(AND(T227="Yes",S227&lt;1,G227&gt;=25,N227&gt;O227),"NAFLD",
IF(OR(P227&gt;1.2,Q227&gt;0.3),"Hyperbilirubinemia",
"Others"))))))))</f>
        <v>Normal</v>
      </c>
      <c r="AI227" s="5" t="str">
        <f>IF(AG227=0,"Normal",
IF(AND(T227="Yes",S227&gt;=2),"ALD (Confirmed)",
IF(AND(T227="Yes",S227&gt;=2,O227&gt;N227),"ALD (Confirmed)",
IF(AND(T227="No",S227&gt;=2),"ALD (Probable)",
IF(AND(G227&gt;=25,OR(T227="No",AND(T227="Yes",S227&lt;1))),"NAFLD",
IF(AND(N227&gt;O227,N227&gt;40,S227&lt;1),"NAFLD",
IF(AND(T227="Yes",S227&lt;1,G227&gt;=25,N227&gt;O227),"NAFLD",
IF(OR(P227&gt;1.2,Q227&gt;0.3),"Hyperbilirubinemia",
"Others"))))))))</f>
        <v>Normal</v>
      </c>
      <c r="AJ227" s="5">
        <v>29</v>
      </c>
      <c r="AK227" s="5" t="s">
        <v>35</v>
      </c>
    </row>
    <row r="228" spans="1:37" ht="28.8" x14ac:dyDescent="0.3">
      <c r="A228" s="5">
        <v>236</v>
      </c>
      <c r="B228" s="5" t="s">
        <v>40</v>
      </c>
      <c r="C228" s="5">
        <v>22</v>
      </c>
      <c r="D228" s="2">
        <v>0</v>
      </c>
      <c r="E228" s="5">
        <v>160</v>
      </c>
      <c r="F228" s="5">
        <v>62</v>
      </c>
      <c r="G228" s="6">
        <v>24.21875</v>
      </c>
      <c r="H228" s="9" t="s">
        <v>33</v>
      </c>
      <c r="I228" s="2">
        <v>34</v>
      </c>
      <c r="J228" s="5" t="s">
        <v>44</v>
      </c>
      <c r="K228" s="5" t="s">
        <v>44</v>
      </c>
      <c r="L228" s="5" t="s">
        <v>44</v>
      </c>
      <c r="M228" s="5" t="s">
        <v>44</v>
      </c>
      <c r="N228" s="5">
        <v>39.15</v>
      </c>
      <c r="O228" s="5">
        <v>33.57</v>
      </c>
      <c r="P228" s="5">
        <v>0.56000000000000005</v>
      </c>
      <c r="Q228" s="5">
        <v>7.0000000000000007E-2</v>
      </c>
      <c r="R228" s="5">
        <v>0.49</v>
      </c>
      <c r="S228" s="8">
        <v>0.85747126436781618</v>
      </c>
      <c r="T228" s="5" t="s">
        <v>44</v>
      </c>
      <c r="U228" s="5"/>
      <c r="V228" s="5"/>
      <c r="W228" s="5"/>
      <c r="X228" s="5"/>
      <c r="Y228" s="5" t="s">
        <v>44</v>
      </c>
      <c r="Z228" s="5"/>
      <c r="AA228" s="5"/>
      <c r="AB228" s="9" t="s">
        <v>44</v>
      </c>
      <c r="AC228" s="2" t="s">
        <v>47</v>
      </c>
      <c r="AD228" s="2">
        <v>0</v>
      </c>
      <c r="AE228" s="2" t="s">
        <v>49</v>
      </c>
      <c r="AF228" s="2" t="str">
        <f t="shared" si="3"/>
        <v>Normal</v>
      </c>
      <c r="AG228" s="5">
        <v>0</v>
      </c>
      <c r="AH228" s="5" t="str">
        <f>IF(AG228=0,"Normal",
IF(AND(T228="Yes",S228&gt;=2),"ALD",
IF(AND(T228="Yes",S228&gt;=2,O228&gt;N228),"ALD",
IF(AND(T228="No",S228&gt;=2),"ALD",
IF(AND(G228&gt;=25,OR(T228="No",AND(T228="Yes",S228&lt;1))),"NAFLD",
IF(AND(N228&gt;O228,N228&gt;40,S228&lt;1),"NAFLD",
IF(AND(T228="Yes",S228&lt;1,G228&gt;=25,N228&gt;O228),"NAFLD",
IF(OR(P228&gt;1.2,Q228&gt;0.3),"Hyperbilirubinemia",
"Others"))))))))</f>
        <v>Normal</v>
      </c>
      <c r="AI228" s="5" t="str">
        <f>IF(AG228=0,"Normal",
IF(AND(T228="Yes",S228&gt;=2),"ALD (Confirmed)",
IF(AND(T228="Yes",S228&gt;=2,O228&gt;N228),"ALD (Confirmed)",
IF(AND(T228="No",S228&gt;=2),"ALD (Probable)",
IF(AND(G228&gt;=25,OR(T228="No",AND(T228="Yes",S228&lt;1))),"NAFLD",
IF(AND(N228&gt;O228,N228&gt;40,S228&lt;1),"NAFLD",
IF(AND(T228="Yes",S228&lt;1,G228&gt;=25,N228&gt;O228),"NAFLD",
IF(OR(P228&gt;1.2,Q228&gt;0.3),"Hyperbilirubinemia",
"Others"))))))))</f>
        <v>Normal</v>
      </c>
      <c r="AJ228" s="5">
        <v>3</v>
      </c>
      <c r="AK228" s="5" t="s">
        <v>34</v>
      </c>
    </row>
    <row r="229" spans="1:37" ht="43.2" x14ac:dyDescent="0.3">
      <c r="A229" s="5">
        <v>237</v>
      </c>
      <c r="B229" s="5" t="s">
        <v>39</v>
      </c>
      <c r="C229" s="5">
        <v>35</v>
      </c>
      <c r="D229" s="2">
        <v>5</v>
      </c>
      <c r="E229" s="5">
        <v>163</v>
      </c>
      <c r="F229" s="5">
        <v>80</v>
      </c>
      <c r="G229" s="6">
        <v>30.110278896458279</v>
      </c>
      <c r="H229" s="9" t="s">
        <v>41</v>
      </c>
      <c r="I229" s="2">
        <v>34</v>
      </c>
      <c r="J229" s="5" t="s">
        <v>44</v>
      </c>
      <c r="K229" s="5" t="s">
        <v>44</v>
      </c>
      <c r="L229" s="5" t="s">
        <v>44</v>
      </c>
      <c r="M229" s="5" t="s">
        <v>44</v>
      </c>
      <c r="N229" s="5">
        <v>34.4</v>
      </c>
      <c r="O229" s="5">
        <v>39.1</v>
      </c>
      <c r="P229" s="5">
        <v>0.63</v>
      </c>
      <c r="Q229" s="5">
        <v>0.06</v>
      </c>
      <c r="R229" s="5">
        <v>0.56999999999999995</v>
      </c>
      <c r="S229" s="8">
        <v>1.1366279069767442</v>
      </c>
      <c r="T229" s="5" t="s">
        <v>44</v>
      </c>
      <c r="U229" s="5"/>
      <c r="V229" s="5"/>
      <c r="W229" s="5"/>
      <c r="X229" s="5"/>
      <c r="Y229" s="5" t="s">
        <v>44</v>
      </c>
      <c r="Z229" s="5"/>
      <c r="AA229" s="5"/>
      <c r="AB229" s="9" t="s">
        <v>44</v>
      </c>
      <c r="AC229" s="2" t="s">
        <v>46</v>
      </c>
      <c r="AD229" s="2">
        <v>0</v>
      </c>
      <c r="AE229" s="2" t="s">
        <v>52</v>
      </c>
      <c r="AF229" s="2" t="str">
        <f t="shared" si="3"/>
        <v>Normal</v>
      </c>
      <c r="AG229" s="5">
        <v>0</v>
      </c>
      <c r="AH229" s="5" t="str">
        <f>IF(AG229=0,"Normal",
IF(AND(T229="Yes",S229&gt;=2),"ALD",
IF(AND(T229="Yes",S229&gt;=2,O229&gt;N229),"ALD",
IF(AND(T229="No",S229&gt;=2),"ALD",
IF(AND(G229&gt;=25,OR(T229="No",AND(T229="Yes",S229&lt;1))),"NAFLD",
IF(AND(N229&gt;O229,N229&gt;40,S229&lt;1),"NAFLD",
IF(AND(T229="Yes",S229&lt;1,G229&gt;=25,N229&gt;O229),"NAFLD",
IF(OR(P229&gt;1.2,Q229&gt;0.3),"Hyperbilirubinemia",
"Others"))))))))</f>
        <v>Normal</v>
      </c>
      <c r="AI229" s="5" t="str">
        <f>IF(AG229=0,"Normal",
IF(AND(T229="Yes",S229&gt;=2),"ALD (Confirmed)",
IF(AND(T229="Yes",S229&gt;=2,O229&gt;N229),"ALD (Confirmed)",
IF(AND(T229="No",S229&gt;=2),"ALD (Probable)",
IF(AND(G229&gt;=25,OR(T229="No",AND(T229="Yes",S229&lt;1))),"NAFLD",
IF(AND(N229&gt;O229,N229&gt;40,S229&lt;1),"NAFLD",
IF(AND(T229="Yes",S229&lt;1,G229&gt;=25,N229&gt;O229),"NAFLD",
IF(OR(P229&gt;1.2,Q229&gt;0.3),"Hyperbilirubinemia",
"Others"))))))))</f>
        <v>Normal</v>
      </c>
      <c r="AJ229" s="5">
        <v>21</v>
      </c>
      <c r="AK229" s="5" t="s">
        <v>35</v>
      </c>
    </row>
    <row r="230" spans="1:37" ht="86.4" x14ac:dyDescent="0.3">
      <c r="A230" s="5">
        <v>238</v>
      </c>
      <c r="B230" s="5" t="s">
        <v>39</v>
      </c>
      <c r="C230" s="5">
        <v>31</v>
      </c>
      <c r="D230" s="2">
        <v>4</v>
      </c>
      <c r="E230" s="5">
        <v>165</v>
      </c>
      <c r="F230" s="5">
        <v>72</v>
      </c>
      <c r="G230" s="6">
        <v>26.446280991735538</v>
      </c>
      <c r="H230" s="9" t="s">
        <v>42</v>
      </c>
      <c r="I230" s="2">
        <v>34</v>
      </c>
      <c r="J230" s="5" t="s">
        <v>44</v>
      </c>
      <c r="K230" s="5" t="s">
        <v>44</v>
      </c>
      <c r="L230" s="5" t="s">
        <v>44</v>
      </c>
      <c r="M230" s="5" t="s">
        <v>44</v>
      </c>
      <c r="N230" s="5">
        <v>57</v>
      </c>
      <c r="O230" s="5">
        <v>42.9</v>
      </c>
      <c r="P230" s="5">
        <v>0.53</v>
      </c>
      <c r="Q230" s="5">
        <v>0.05</v>
      </c>
      <c r="R230" s="5">
        <v>0.48</v>
      </c>
      <c r="S230" s="8">
        <v>0.75263157894736843</v>
      </c>
      <c r="T230" s="5" t="s">
        <v>45</v>
      </c>
      <c r="U230" s="5" t="s">
        <v>55</v>
      </c>
      <c r="V230" s="5" t="s">
        <v>60</v>
      </c>
      <c r="W230" s="5" t="s">
        <v>65</v>
      </c>
      <c r="X230" s="5" t="s">
        <v>69</v>
      </c>
      <c r="Y230" s="5" t="s">
        <v>45</v>
      </c>
      <c r="Z230" s="5" t="s">
        <v>74</v>
      </c>
      <c r="AA230" s="5" t="s">
        <v>79</v>
      </c>
      <c r="AB230" s="9" t="s">
        <v>44</v>
      </c>
      <c r="AC230" s="2" t="s">
        <v>46</v>
      </c>
      <c r="AD230" s="2">
        <v>0</v>
      </c>
      <c r="AE230" s="2" t="s">
        <v>48</v>
      </c>
      <c r="AF230" s="2" t="str">
        <f t="shared" si="3"/>
        <v>Abnormal</v>
      </c>
      <c r="AG230" s="5">
        <v>1</v>
      </c>
      <c r="AH230" s="5" t="str">
        <f>IF(AG230=0,"Normal",
IF(AND(T230="Yes",S230&gt;=2),"ALD",
IF(AND(T230="Yes",S230&gt;=2,O230&gt;N230),"ALD",
IF(AND(T230="No",S230&gt;=2),"ALD",
IF(AND(G230&gt;=25,OR(T230="No",AND(T230="Yes",S230&lt;1))),"NAFLD",
IF(AND(N230&gt;O230,N230&gt;40,S230&lt;1),"NAFLD",
IF(AND(T230="Yes",S230&lt;1,G230&gt;=25,N230&gt;O230),"NAFLD",
IF(OR(P230&gt;1.2,Q230&gt;0.3),"Hyperbilirubinemia",
"Others"))))))))</f>
        <v>NAFLD</v>
      </c>
      <c r="AI230" s="5" t="str">
        <f>IF(AG230=0,"Normal",
IF(AND(T230="Yes",S230&gt;=2),"ALD (Confirmed)",
IF(AND(T230="Yes",S230&gt;=2,O230&gt;N230),"ALD (Confirmed)",
IF(AND(T230="No",S230&gt;=2),"ALD (Probable)",
IF(AND(G230&gt;=25,OR(T230="No",AND(T230="Yes",S230&lt;1))),"NAFLD",
IF(AND(N230&gt;O230,N230&gt;40,S230&lt;1),"NAFLD",
IF(AND(T230="Yes",S230&lt;1,G230&gt;=25,N230&gt;O230),"NAFLD",
IF(OR(P230&gt;1.2,Q230&gt;0.3),"Hyperbilirubinemia",
"Others"))))))))</f>
        <v>NAFLD</v>
      </c>
      <c r="AJ230" s="5">
        <v>31</v>
      </c>
      <c r="AK230" s="5" t="s">
        <v>35</v>
      </c>
    </row>
    <row r="231" spans="1:37" ht="28.8" x14ac:dyDescent="0.3">
      <c r="A231" s="5">
        <v>239</v>
      </c>
      <c r="B231" s="5" t="s">
        <v>39</v>
      </c>
      <c r="C231" s="5">
        <v>53</v>
      </c>
      <c r="D231" s="2">
        <v>22</v>
      </c>
      <c r="E231" s="5">
        <v>165</v>
      </c>
      <c r="F231" s="5">
        <v>70</v>
      </c>
      <c r="G231" s="6">
        <v>25.711662075298438</v>
      </c>
      <c r="H231" s="9" t="s">
        <v>42</v>
      </c>
      <c r="I231" s="2">
        <v>34</v>
      </c>
      <c r="J231" s="5" t="s">
        <v>44</v>
      </c>
      <c r="K231" s="5" t="s">
        <v>45</v>
      </c>
      <c r="L231" s="5" t="s">
        <v>44</v>
      </c>
      <c r="M231" s="5" t="s">
        <v>44</v>
      </c>
      <c r="N231" s="5">
        <v>37.76</v>
      </c>
      <c r="O231" s="5">
        <v>37.97</v>
      </c>
      <c r="P231" s="5">
        <v>0.5</v>
      </c>
      <c r="Q231" s="5">
        <v>0.1</v>
      </c>
      <c r="R231" s="5">
        <v>0.4</v>
      </c>
      <c r="S231" s="8">
        <v>1.005561440677966</v>
      </c>
      <c r="T231" s="5" t="s">
        <v>44</v>
      </c>
      <c r="U231" s="5"/>
      <c r="V231" s="5"/>
      <c r="W231" s="5"/>
      <c r="X231" s="5"/>
      <c r="Y231" s="5" t="s">
        <v>44</v>
      </c>
      <c r="Z231" s="5"/>
      <c r="AA231" s="5"/>
      <c r="AB231" s="9" t="s">
        <v>44</v>
      </c>
      <c r="AC231" s="2" t="s">
        <v>47</v>
      </c>
      <c r="AD231" s="2">
        <v>0</v>
      </c>
      <c r="AE231" s="2" t="s">
        <v>52</v>
      </c>
      <c r="AF231" s="2" t="str">
        <f t="shared" si="3"/>
        <v>Normal</v>
      </c>
      <c r="AG231" s="5">
        <v>0</v>
      </c>
      <c r="AH231" s="5" t="str">
        <f>IF(AG231=0,"Normal",
IF(AND(T231="Yes",S231&gt;=2),"ALD",
IF(AND(T231="Yes",S231&gt;=2,O231&gt;N231),"ALD",
IF(AND(T231="No",S231&gt;=2),"ALD",
IF(AND(G231&gt;=25,OR(T231="No",AND(T231="Yes",S231&lt;1))),"NAFLD",
IF(AND(N231&gt;O231,N231&gt;40,S231&lt;1),"NAFLD",
IF(AND(T231="Yes",S231&lt;1,G231&gt;=25,N231&gt;O231),"NAFLD",
IF(OR(P231&gt;1.2,Q231&gt;0.3),"Hyperbilirubinemia",
"Others"))))))))</f>
        <v>Normal</v>
      </c>
      <c r="AI231" s="5" t="str">
        <f>IF(AG231=0,"Normal",
IF(AND(T231="Yes",S231&gt;=2),"ALD (Confirmed)",
IF(AND(T231="Yes",S231&gt;=2,O231&gt;N231),"ALD (Confirmed)",
IF(AND(T231="No",S231&gt;=2),"ALD (Probable)",
IF(AND(G231&gt;=25,OR(T231="No",AND(T231="Yes",S231&lt;1))),"NAFLD",
IF(AND(N231&gt;O231,N231&gt;40,S231&lt;1),"NAFLD",
IF(AND(T231="Yes",S231&lt;1,G231&gt;=25,N231&gt;O231),"NAFLD",
IF(OR(P231&gt;1.2,Q231&gt;0.3),"Hyperbilirubinemia",
"Others"))))))))</f>
        <v>Normal</v>
      </c>
      <c r="AJ231" s="5">
        <v>20</v>
      </c>
      <c r="AK231" s="5" t="s">
        <v>34</v>
      </c>
    </row>
    <row r="232" spans="1:37" ht="43.2" x14ac:dyDescent="0.3">
      <c r="A232" s="5">
        <v>240</v>
      </c>
      <c r="B232" s="5" t="s">
        <v>39</v>
      </c>
      <c r="C232" s="5">
        <v>26</v>
      </c>
      <c r="D232" s="2">
        <v>4</v>
      </c>
      <c r="E232" s="5">
        <v>161</v>
      </c>
      <c r="F232" s="5">
        <v>54</v>
      </c>
      <c r="G232" s="6">
        <v>20.832529609197177</v>
      </c>
      <c r="H232" s="9" t="s">
        <v>33</v>
      </c>
      <c r="I232" s="2">
        <v>32</v>
      </c>
      <c r="J232" s="5" t="s">
        <v>44</v>
      </c>
      <c r="K232" s="5" t="s">
        <v>44</v>
      </c>
      <c r="L232" s="5" t="s">
        <v>44</v>
      </c>
      <c r="M232" s="5" t="s">
        <v>44</v>
      </c>
      <c r="N232" s="5">
        <v>27.33</v>
      </c>
      <c r="O232" s="5">
        <v>41.39</v>
      </c>
      <c r="P232" s="5">
        <v>0.21</v>
      </c>
      <c r="Q232" s="5">
        <v>0.05</v>
      </c>
      <c r="R232" s="5">
        <v>0.16</v>
      </c>
      <c r="S232" s="8">
        <v>1.5144529820709844</v>
      </c>
      <c r="T232" s="5" t="s">
        <v>44</v>
      </c>
      <c r="U232" s="5"/>
      <c r="V232" s="5"/>
      <c r="W232" s="5"/>
      <c r="X232" s="5"/>
      <c r="Y232" s="5" t="s">
        <v>44</v>
      </c>
      <c r="Z232" s="5"/>
      <c r="AA232" s="5"/>
      <c r="AB232" s="9" t="s">
        <v>44</v>
      </c>
      <c r="AC232" s="2" t="s">
        <v>46</v>
      </c>
      <c r="AD232" s="2">
        <v>0</v>
      </c>
      <c r="AE232" s="2" t="s">
        <v>49</v>
      </c>
      <c r="AF232" s="2" t="str">
        <f t="shared" si="3"/>
        <v>Abnormal</v>
      </c>
      <c r="AG232" s="5">
        <v>1</v>
      </c>
      <c r="AH232" s="5" t="str">
        <f>IF(AG232=0,"Normal",
IF(AND(T232="Yes",S232&gt;=2),"ALD",
IF(AND(T232="Yes",S232&gt;=2,O232&gt;N232),"ALD",
IF(AND(T232="No",S232&gt;=2),"ALD",
IF(AND(G232&gt;=25,OR(T232="No",AND(T232="Yes",S232&lt;1))),"NAFLD",
IF(AND(N232&gt;O232,N232&gt;40,S232&lt;1),"NAFLD",
IF(AND(T232="Yes",S232&lt;1,G232&gt;=25,N232&gt;O232),"NAFLD",
IF(OR(P232&gt;1.2,Q232&gt;0.3),"Hyperbilirubinemia",
"Others"))))))))</f>
        <v>Others</v>
      </c>
      <c r="AI232" s="5" t="str">
        <f>IF(AG232=0,"Normal",
IF(AND(T232="Yes",S232&gt;=2),"ALD (Confirmed)",
IF(AND(T232="Yes",S232&gt;=2,O232&gt;N232),"ALD (Confirmed)",
IF(AND(T232="No",S232&gt;=2),"ALD (Probable)",
IF(AND(G232&gt;=25,OR(T232="No",AND(T232="Yes",S232&lt;1))),"NAFLD",
IF(AND(N232&gt;O232,N232&gt;40,S232&lt;1),"NAFLD",
IF(AND(T232="Yes",S232&lt;1,G232&gt;=25,N232&gt;O232),"NAFLD",
IF(OR(P232&gt;1.2,Q232&gt;0.3),"Hyperbilirubinemia",
"Others"))))))))</f>
        <v>Others</v>
      </c>
      <c r="AJ232" s="5">
        <v>9</v>
      </c>
      <c r="AK232" s="5" t="s">
        <v>34</v>
      </c>
    </row>
    <row r="233" spans="1:37" ht="43.2" x14ac:dyDescent="0.3">
      <c r="A233" s="5">
        <v>241</v>
      </c>
      <c r="B233" s="5" t="s">
        <v>39</v>
      </c>
      <c r="C233" s="5">
        <v>41</v>
      </c>
      <c r="D233" s="2">
        <v>18</v>
      </c>
      <c r="E233" s="5">
        <v>188</v>
      </c>
      <c r="F233" s="5">
        <v>81</v>
      </c>
      <c r="G233" s="6">
        <v>22.917609778180175</v>
      </c>
      <c r="H233" s="9" t="s">
        <v>33</v>
      </c>
      <c r="I233" s="2">
        <v>36</v>
      </c>
      <c r="J233" s="5" t="s">
        <v>44</v>
      </c>
      <c r="K233" s="5" t="s">
        <v>44</v>
      </c>
      <c r="L233" s="5" t="s">
        <v>44</v>
      </c>
      <c r="M233" s="5" t="s">
        <v>44</v>
      </c>
      <c r="N233" s="5">
        <v>34</v>
      </c>
      <c r="O233" s="5">
        <v>35.200000000000003</v>
      </c>
      <c r="P233" s="5">
        <v>0.43</v>
      </c>
      <c r="Q233" s="5">
        <v>0.06</v>
      </c>
      <c r="R233" s="5">
        <v>0.37</v>
      </c>
      <c r="S233" s="8">
        <v>1.0352941176470589</v>
      </c>
      <c r="T233" s="5" t="s">
        <v>45</v>
      </c>
      <c r="U233" s="5" t="s">
        <v>58</v>
      </c>
      <c r="V233" s="5" t="s">
        <v>60</v>
      </c>
      <c r="W233" s="5" t="s">
        <v>65</v>
      </c>
      <c r="X233" s="5" t="s">
        <v>68</v>
      </c>
      <c r="Y233" s="5" t="s">
        <v>44</v>
      </c>
      <c r="Z233" s="5"/>
      <c r="AA233" s="5"/>
      <c r="AB233" s="9" t="s">
        <v>44</v>
      </c>
      <c r="AC233" s="2" t="s">
        <v>47</v>
      </c>
      <c r="AD233" s="2">
        <v>0</v>
      </c>
      <c r="AE233" s="2" t="s">
        <v>52</v>
      </c>
      <c r="AF233" s="2" t="str">
        <f t="shared" si="3"/>
        <v>Normal</v>
      </c>
      <c r="AG233" s="5">
        <v>0</v>
      </c>
      <c r="AH233" s="5" t="str">
        <f>IF(AG233=0,"Normal",
IF(AND(T233="Yes",S233&gt;=2),"ALD",
IF(AND(T233="Yes",S233&gt;=2,O233&gt;N233),"ALD",
IF(AND(T233="No",S233&gt;=2),"ALD",
IF(AND(G233&gt;=25,OR(T233="No",AND(T233="Yes",S233&lt;1))),"NAFLD",
IF(AND(N233&gt;O233,N233&gt;40,S233&lt;1),"NAFLD",
IF(AND(T233="Yes",S233&lt;1,G233&gt;=25,N233&gt;O233),"NAFLD",
IF(OR(P233&gt;1.2,Q233&gt;0.3),"Hyperbilirubinemia",
"Others"))))))))</f>
        <v>Normal</v>
      </c>
      <c r="AI233" s="5" t="str">
        <f>IF(AG233=0,"Normal",
IF(AND(T233="Yes",S233&gt;=2),"ALD (Confirmed)",
IF(AND(T233="Yes",S233&gt;=2,O233&gt;N233),"ALD (Confirmed)",
IF(AND(T233="No",S233&gt;=2),"ALD (Probable)",
IF(AND(G233&gt;=25,OR(T233="No",AND(T233="Yes",S233&lt;1))),"NAFLD",
IF(AND(N233&gt;O233,N233&gt;40,S233&lt;1),"NAFLD",
IF(AND(T233="Yes",S233&lt;1,G233&gt;=25,N233&gt;O233),"NAFLD",
IF(OR(P233&gt;1.2,Q233&gt;0.3),"Hyperbilirubinemia",
"Others"))))))))</f>
        <v>Normal</v>
      </c>
      <c r="AJ233" s="5">
        <v>19</v>
      </c>
      <c r="AK233" s="5" t="s">
        <v>34</v>
      </c>
    </row>
    <row r="234" spans="1:37" ht="43.2" x14ac:dyDescent="0.3">
      <c r="A234" s="5">
        <v>242</v>
      </c>
      <c r="B234" s="5" t="s">
        <v>39</v>
      </c>
      <c r="C234" s="5">
        <v>28</v>
      </c>
      <c r="D234" s="2">
        <v>4</v>
      </c>
      <c r="E234" s="5">
        <v>165</v>
      </c>
      <c r="F234" s="5">
        <v>52</v>
      </c>
      <c r="G234" s="6">
        <v>19.100091827364555</v>
      </c>
      <c r="H234" s="9" t="s">
        <v>33</v>
      </c>
      <c r="I234" s="2">
        <v>30</v>
      </c>
      <c r="J234" s="5" t="s">
        <v>44</v>
      </c>
      <c r="K234" s="5" t="s">
        <v>44</v>
      </c>
      <c r="L234" s="5" t="s">
        <v>44</v>
      </c>
      <c r="M234" s="5" t="s">
        <v>44</v>
      </c>
      <c r="N234" s="5">
        <v>27.21</v>
      </c>
      <c r="O234" s="5">
        <v>38.72</v>
      </c>
      <c r="P234" s="5">
        <v>1.44</v>
      </c>
      <c r="Q234" s="5">
        <v>0.32</v>
      </c>
      <c r="R234" s="5">
        <v>1.21</v>
      </c>
      <c r="S234" s="8">
        <v>1.4230062477030503</v>
      </c>
      <c r="T234" s="5" t="s">
        <v>44</v>
      </c>
      <c r="U234" s="5"/>
      <c r="V234" s="5"/>
      <c r="W234" s="5"/>
      <c r="X234" s="5"/>
      <c r="Y234" s="5" t="s">
        <v>44</v>
      </c>
      <c r="Z234" s="5"/>
      <c r="AA234" s="5"/>
      <c r="AB234" s="9" t="s">
        <v>44</v>
      </c>
      <c r="AC234" s="2" t="s">
        <v>46</v>
      </c>
      <c r="AD234" s="2">
        <v>0</v>
      </c>
      <c r="AE234" s="2" t="s">
        <v>49</v>
      </c>
      <c r="AF234" s="2" t="str">
        <f t="shared" si="3"/>
        <v>Abnormal</v>
      </c>
      <c r="AG234" s="5">
        <v>1</v>
      </c>
      <c r="AH234" s="5" t="str">
        <f>IF(AG234=0,"Normal",
IF(AND(T234="Yes",S234&gt;=2),"ALD",
IF(AND(T234="Yes",S234&gt;=2,O234&gt;N234),"ALD",
IF(AND(T234="No",S234&gt;=2),"ALD",
IF(AND(G234&gt;=25,OR(T234="No",AND(T234="Yes",S234&lt;1))),"NAFLD",
IF(AND(N234&gt;O234,N234&gt;40,S234&lt;1),"NAFLD",
IF(AND(T234="Yes",S234&lt;1,G234&gt;=25,N234&gt;O234),"NAFLD",
IF(OR(P234&gt;1.2,Q234&gt;0.3),"Hyperbilirubinemia",
"Others"))))))))</f>
        <v>Hyperbilirubinemia</v>
      </c>
      <c r="AI234" s="5" t="str">
        <f>IF(AG234=0,"Normal",
IF(AND(T234="Yes",S234&gt;=2),"ALD (Confirmed)",
IF(AND(T234="Yes",S234&gt;=2,O234&gt;N234),"ALD (Confirmed)",
IF(AND(T234="No",S234&gt;=2),"ALD (Probable)",
IF(AND(G234&gt;=25,OR(T234="No",AND(T234="Yes",S234&lt;1))),"NAFLD",
IF(AND(N234&gt;O234,N234&gt;40,S234&lt;1),"NAFLD",
IF(AND(T234="Yes",S234&lt;1,G234&gt;=25,N234&gt;O234),"NAFLD",
IF(OR(P234&gt;1.2,Q234&gt;0.3),"Hyperbilirubinemia",
"Others"))))))))</f>
        <v>Hyperbilirubinemia</v>
      </c>
      <c r="AJ234" s="5">
        <v>10</v>
      </c>
      <c r="AK234" s="5" t="s">
        <v>34</v>
      </c>
    </row>
    <row r="235" spans="1:37" ht="43.2" x14ac:dyDescent="0.3">
      <c r="A235" s="5">
        <v>243</v>
      </c>
      <c r="B235" s="5" t="s">
        <v>39</v>
      </c>
      <c r="C235" s="5">
        <v>26</v>
      </c>
      <c r="D235" s="2">
        <v>1</v>
      </c>
      <c r="E235" s="5">
        <v>158</v>
      </c>
      <c r="F235" s="5">
        <v>64</v>
      </c>
      <c r="G235" s="6">
        <v>25.636917160711423</v>
      </c>
      <c r="H235" s="9" t="s">
        <v>42</v>
      </c>
      <c r="I235" s="2">
        <v>30</v>
      </c>
      <c r="J235" s="5" t="s">
        <v>44</v>
      </c>
      <c r="K235" s="5" t="s">
        <v>44</v>
      </c>
      <c r="L235" s="5" t="s">
        <v>44</v>
      </c>
      <c r="M235" s="5" t="s">
        <v>44</v>
      </c>
      <c r="N235" s="5">
        <v>27.8</v>
      </c>
      <c r="O235" s="5">
        <v>40.1</v>
      </c>
      <c r="P235" s="5">
        <v>0.37</v>
      </c>
      <c r="Q235" s="5">
        <v>7.0000000000000007E-2</v>
      </c>
      <c r="R235" s="5">
        <v>0.3</v>
      </c>
      <c r="S235" s="8">
        <v>1.4424460431654675</v>
      </c>
      <c r="T235" s="5" t="s">
        <v>45</v>
      </c>
      <c r="U235" s="5" t="s">
        <v>56</v>
      </c>
      <c r="V235" s="5" t="s">
        <v>61</v>
      </c>
      <c r="W235" s="5"/>
      <c r="X235" s="5"/>
      <c r="Y235" s="5" t="s">
        <v>44</v>
      </c>
      <c r="Z235" s="5"/>
      <c r="AA235" s="5"/>
      <c r="AB235" s="9" t="s">
        <v>44</v>
      </c>
      <c r="AC235" s="2" t="s">
        <v>46</v>
      </c>
      <c r="AD235" s="2">
        <v>0</v>
      </c>
      <c r="AE235" s="2" t="s">
        <v>52</v>
      </c>
      <c r="AF235" s="2" t="str">
        <f t="shared" si="3"/>
        <v>Abnormal</v>
      </c>
      <c r="AG235" s="5">
        <v>1</v>
      </c>
      <c r="AH235" s="5" t="str">
        <f>IF(AG235=0,"Normal",
IF(AND(T235="Yes",S235&gt;=2),"ALD",
IF(AND(T235="Yes",S235&gt;=2,O235&gt;N235),"ALD",
IF(AND(T235="No",S235&gt;=2),"ALD",
IF(AND(G235&gt;=25,OR(T235="No",AND(T235="Yes",S235&lt;1))),"NAFLD",
IF(AND(N235&gt;O235,N235&gt;40,S235&lt;1),"NAFLD",
IF(AND(T235="Yes",S235&lt;1,G235&gt;=25,N235&gt;O235),"NAFLD",
IF(OR(P235&gt;1.2,Q235&gt;0.3),"Hyperbilirubinemia",
"Others"))))))))</f>
        <v>Others</v>
      </c>
      <c r="AI235" s="5" t="str">
        <f>IF(AG235=0,"Normal",
IF(AND(T235="Yes",S235&gt;=2),"ALD (Confirmed)",
IF(AND(T235="Yes",S235&gt;=2,O235&gt;N235),"ALD (Confirmed)",
IF(AND(T235="No",S235&gt;=2),"ALD (Probable)",
IF(AND(G235&gt;=25,OR(T235="No",AND(T235="Yes",S235&lt;1))),"NAFLD",
IF(AND(N235&gt;O235,N235&gt;40,S235&lt;1),"NAFLD",
IF(AND(T235="Yes",S235&lt;1,G235&gt;=25,N235&gt;O235),"NAFLD",
IF(OR(P235&gt;1.2,Q235&gt;0.3),"Hyperbilirubinemia",
"Others"))))))))</f>
        <v>Others</v>
      </c>
      <c r="AJ235" s="5">
        <v>19</v>
      </c>
      <c r="AK235" s="5" t="s">
        <v>34</v>
      </c>
    </row>
    <row r="236" spans="1:37" ht="28.8" x14ac:dyDescent="0.3">
      <c r="A236" s="5">
        <v>244</v>
      </c>
      <c r="B236" s="5" t="s">
        <v>39</v>
      </c>
      <c r="C236" s="5">
        <v>34</v>
      </c>
      <c r="D236" s="2">
        <v>3</v>
      </c>
      <c r="E236" s="5">
        <v>158</v>
      </c>
      <c r="F236" s="5">
        <v>63</v>
      </c>
      <c r="G236" s="6">
        <v>25.236340330075311</v>
      </c>
      <c r="H236" s="9" t="s">
        <v>42</v>
      </c>
      <c r="I236" s="2">
        <v>32</v>
      </c>
      <c r="J236" s="5" t="s">
        <v>44</v>
      </c>
      <c r="K236" s="5" t="s">
        <v>44</v>
      </c>
      <c r="L236" s="5" t="s">
        <v>44</v>
      </c>
      <c r="M236" s="5" t="s">
        <v>44</v>
      </c>
      <c r="N236" s="5">
        <v>36.799999999999997</v>
      </c>
      <c r="O236" s="5">
        <v>36.200000000000003</v>
      </c>
      <c r="P236" s="5">
        <v>0.32</v>
      </c>
      <c r="Q236" s="5">
        <v>0.09</v>
      </c>
      <c r="R236" s="5">
        <v>0.23</v>
      </c>
      <c r="S236" s="8">
        <v>0.98369565217391319</v>
      </c>
      <c r="T236" s="5" t="s">
        <v>44</v>
      </c>
      <c r="U236" s="5"/>
      <c r="V236" s="5"/>
      <c r="W236" s="5"/>
      <c r="X236" s="5"/>
      <c r="Y236" s="5" t="s">
        <v>44</v>
      </c>
      <c r="Z236" s="5"/>
      <c r="AA236" s="5"/>
      <c r="AB236" s="9" t="s">
        <v>44</v>
      </c>
      <c r="AC236" s="2" t="s">
        <v>47</v>
      </c>
      <c r="AD236" s="2">
        <v>0</v>
      </c>
      <c r="AE236" s="2" t="s">
        <v>52</v>
      </c>
      <c r="AF236" s="2" t="str">
        <f t="shared" si="3"/>
        <v>Normal</v>
      </c>
      <c r="AG236" s="5">
        <v>0</v>
      </c>
      <c r="AH236" s="5" t="str">
        <f>IF(AG236=0,"Normal",
IF(AND(T236="Yes",S236&gt;=2),"ALD",
IF(AND(T236="Yes",S236&gt;=2,O236&gt;N236),"ALD",
IF(AND(T236="No",S236&gt;=2),"ALD",
IF(AND(G236&gt;=25,OR(T236="No",AND(T236="Yes",S236&lt;1))),"NAFLD",
IF(AND(N236&gt;O236,N236&gt;40,S236&lt;1),"NAFLD",
IF(AND(T236="Yes",S236&lt;1,G236&gt;=25,N236&gt;O236),"NAFLD",
IF(OR(P236&gt;1.2,Q236&gt;0.3),"Hyperbilirubinemia",
"Others"))))))))</f>
        <v>Normal</v>
      </c>
      <c r="AI236" s="5" t="str">
        <f>IF(AG236=0,"Normal",
IF(AND(T236="Yes",S236&gt;=2),"ALD (Confirmed)",
IF(AND(T236="Yes",S236&gt;=2,O236&gt;N236),"ALD (Confirmed)",
IF(AND(T236="No",S236&gt;=2),"ALD (Probable)",
IF(AND(G236&gt;=25,OR(T236="No",AND(T236="Yes",S236&lt;1))),"NAFLD",
IF(AND(N236&gt;O236,N236&gt;40,S236&lt;1),"NAFLD",
IF(AND(T236="Yes",S236&lt;1,G236&gt;=25,N236&gt;O236),"NAFLD",
IF(OR(P236&gt;1.2,Q236&gt;0.3),"Hyperbilirubinemia",
"Others"))))))))</f>
        <v>Normal</v>
      </c>
      <c r="AJ236" s="5">
        <v>9</v>
      </c>
      <c r="AK236" s="5" t="s">
        <v>34</v>
      </c>
    </row>
    <row r="237" spans="1:37" ht="28.8" x14ac:dyDescent="0.3">
      <c r="A237" s="5">
        <v>245</v>
      </c>
      <c r="B237" s="5" t="s">
        <v>39</v>
      </c>
      <c r="C237" s="5">
        <v>22</v>
      </c>
      <c r="D237" s="2">
        <v>2</v>
      </c>
      <c r="E237" s="5">
        <v>188</v>
      </c>
      <c r="F237" s="5">
        <v>61</v>
      </c>
      <c r="G237" s="6">
        <v>17.258940697148031</v>
      </c>
      <c r="H237" s="9" t="s">
        <v>43</v>
      </c>
      <c r="I237" s="2">
        <v>28</v>
      </c>
      <c r="J237" s="5" t="s">
        <v>44</v>
      </c>
      <c r="K237" s="5" t="s">
        <v>44</v>
      </c>
      <c r="L237" s="5" t="s">
        <v>44</v>
      </c>
      <c r="M237" s="5" t="s">
        <v>44</v>
      </c>
      <c r="N237" s="5">
        <v>23</v>
      </c>
      <c r="O237" s="5">
        <v>35.200000000000003</v>
      </c>
      <c r="P237" s="5">
        <v>0.22</v>
      </c>
      <c r="Q237" s="5">
        <v>0.02</v>
      </c>
      <c r="R237" s="5">
        <v>0.2</v>
      </c>
      <c r="S237" s="8">
        <v>1.5304347826086957</v>
      </c>
      <c r="T237" s="5" t="s">
        <v>44</v>
      </c>
      <c r="U237" s="5"/>
      <c r="V237" s="5"/>
      <c r="W237" s="5"/>
      <c r="X237" s="5"/>
      <c r="Y237" s="5" t="s">
        <v>44</v>
      </c>
      <c r="Z237" s="5"/>
      <c r="AA237" s="5"/>
      <c r="AB237" s="9" t="s">
        <v>44</v>
      </c>
      <c r="AC237" s="2" t="s">
        <v>47</v>
      </c>
      <c r="AD237" s="2">
        <v>0</v>
      </c>
      <c r="AE237" s="2" t="s">
        <v>49</v>
      </c>
      <c r="AF237" s="2" t="str">
        <f t="shared" si="3"/>
        <v>Normal</v>
      </c>
      <c r="AG237" s="5">
        <v>0</v>
      </c>
      <c r="AH237" s="5" t="str">
        <f>IF(AG237=0,"Normal",
IF(AND(T237="Yes",S237&gt;=2),"ALD",
IF(AND(T237="Yes",S237&gt;=2,O237&gt;N237),"ALD",
IF(AND(T237="No",S237&gt;=2),"ALD",
IF(AND(G237&gt;=25,OR(T237="No",AND(T237="Yes",S237&lt;1))),"NAFLD",
IF(AND(N237&gt;O237,N237&gt;40,S237&lt;1),"NAFLD",
IF(AND(T237="Yes",S237&lt;1,G237&gt;=25,N237&gt;O237),"NAFLD",
IF(OR(P237&gt;1.2,Q237&gt;0.3),"Hyperbilirubinemia",
"Others"))))))))</f>
        <v>Normal</v>
      </c>
      <c r="AI237" s="5" t="str">
        <f>IF(AG237=0,"Normal",
IF(AND(T237="Yes",S237&gt;=2),"ALD (Confirmed)",
IF(AND(T237="Yes",S237&gt;=2,O237&gt;N237),"ALD (Confirmed)",
IF(AND(T237="No",S237&gt;=2),"ALD (Probable)",
IF(AND(G237&gt;=25,OR(T237="No",AND(T237="Yes",S237&lt;1))),"NAFLD",
IF(AND(N237&gt;O237,N237&gt;40,S237&lt;1),"NAFLD",
IF(AND(T237="Yes",S237&lt;1,G237&gt;=25,N237&gt;O237),"NAFLD",
IF(OR(P237&gt;1.2,Q237&gt;0.3),"Hyperbilirubinemia",
"Others"))))))))</f>
        <v>Normal</v>
      </c>
      <c r="AJ237" s="5">
        <v>3</v>
      </c>
      <c r="AK237" s="5" t="s">
        <v>34</v>
      </c>
    </row>
    <row r="238" spans="1:37" ht="28.8" x14ac:dyDescent="0.3">
      <c r="A238" s="5">
        <v>246</v>
      </c>
      <c r="B238" s="5" t="s">
        <v>39</v>
      </c>
      <c r="C238" s="5">
        <v>34</v>
      </c>
      <c r="D238" s="2">
        <v>10</v>
      </c>
      <c r="E238" s="5">
        <v>163</v>
      </c>
      <c r="F238" s="5">
        <v>62</v>
      </c>
      <c r="G238" s="6">
        <v>23.335466144755166</v>
      </c>
      <c r="H238" s="9" t="s">
        <v>33</v>
      </c>
      <c r="I238" s="2">
        <v>32</v>
      </c>
      <c r="J238" s="5" t="s">
        <v>44</v>
      </c>
      <c r="K238" s="5" t="s">
        <v>44</v>
      </c>
      <c r="L238" s="5" t="s">
        <v>44</v>
      </c>
      <c r="M238" s="5" t="s">
        <v>44</v>
      </c>
      <c r="N238" s="5">
        <v>37.69</v>
      </c>
      <c r="O238" s="5">
        <v>24.77</v>
      </c>
      <c r="P238" s="5">
        <v>0.56999999999999995</v>
      </c>
      <c r="Q238" s="5">
        <v>0.1</v>
      </c>
      <c r="R238" s="5">
        <v>0.47</v>
      </c>
      <c r="S238" s="8">
        <v>0.65720350225524016</v>
      </c>
      <c r="T238" s="5" t="s">
        <v>44</v>
      </c>
      <c r="U238" s="5"/>
      <c r="V238" s="5"/>
      <c r="W238" s="5"/>
      <c r="X238" s="5"/>
      <c r="Y238" s="5" t="s">
        <v>44</v>
      </c>
      <c r="Z238" s="5"/>
      <c r="AA238" s="5"/>
      <c r="AB238" s="9" t="s">
        <v>44</v>
      </c>
      <c r="AC238" s="2" t="s">
        <v>47</v>
      </c>
      <c r="AD238" s="2">
        <v>0</v>
      </c>
      <c r="AE238" s="2" t="s">
        <v>52</v>
      </c>
      <c r="AF238" s="2" t="str">
        <f t="shared" si="3"/>
        <v>Normal</v>
      </c>
      <c r="AG238" s="5">
        <v>0</v>
      </c>
      <c r="AH238" s="5" t="str">
        <f>IF(AG238=0,"Normal",
IF(AND(T238="Yes",S238&gt;=2),"ALD",
IF(AND(T238="Yes",S238&gt;=2,O238&gt;N238),"ALD",
IF(AND(T238="No",S238&gt;=2),"ALD",
IF(AND(G238&gt;=25,OR(T238="No",AND(T238="Yes",S238&lt;1))),"NAFLD",
IF(AND(N238&gt;O238,N238&gt;40,S238&lt;1),"NAFLD",
IF(AND(T238="Yes",S238&lt;1,G238&gt;=25,N238&gt;O238),"NAFLD",
IF(OR(P238&gt;1.2,Q238&gt;0.3),"Hyperbilirubinemia",
"Others"))))))))</f>
        <v>Normal</v>
      </c>
      <c r="AI238" s="5" t="str">
        <f>IF(AG238=0,"Normal",
IF(AND(T238="Yes",S238&gt;=2),"ALD (Confirmed)",
IF(AND(T238="Yes",S238&gt;=2,O238&gt;N238),"ALD (Confirmed)",
IF(AND(T238="No",S238&gt;=2),"ALD (Probable)",
IF(AND(G238&gt;=25,OR(T238="No",AND(T238="Yes",S238&lt;1))),"NAFLD",
IF(AND(N238&gt;O238,N238&gt;40,S238&lt;1),"NAFLD",
IF(AND(T238="Yes",S238&lt;1,G238&gt;=25,N238&gt;O238),"NAFLD",
IF(OR(P238&gt;1.2,Q238&gt;0.3),"Hyperbilirubinemia",
"Others"))))))))</f>
        <v>Normal</v>
      </c>
      <c r="AJ238" s="5">
        <v>4</v>
      </c>
      <c r="AK238" s="5" t="s">
        <v>34</v>
      </c>
    </row>
    <row r="239" spans="1:37" ht="43.2" x14ac:dyDescent="0.3">
      <c r="A239" s="5">
        <v>247</v>
      </c>
      <c r="B239" s="5" t="s">
        <v>39</v>
      </c>
      <c r="C239" s="5">
        <v>35</v>
      </c>
      <c r="D239" s="2">
        <v>12</v>
      </c>
      <c r="E239" s="5">
        <v>170</v>
      </c>
      <c r="F239" s="5">
        <v>72</v>
      </c>
      <c r="G239" s="6">
        <v>24.913494809688579</v>
      </c>
      <c r="H239" s="9" t="s">
        <v>42</v>
      </c>
      <c r="I239" s="2">
        <v>34</v>
      </c>
      <c r="J239" s="5" t="s">
        <v>44</v>
      </c>
      <c r="K239" s="5" t="s">
        <v>44</v>
      </c>
      <c r="L239" s="5" t="s">
        <v>44</v>
      </c>
      <c r="M239" s="5" t="s">
        <v>44</v>
      </c>
      <c r="N239" s="5">
        <v>23.7</v>
      </c>
      <c r="O239" s="5">
        <v>44.2</v>
      </c>
      <c r="P239" s="5">
        <v>0.83</v>
      </c>
      <c r="Q239" s="5">
        <v>0.2</v>
      </c>
      <c r="R239" s="5">
        <v>0.63</v>
      </c>
      <c r="S239" s="8">
        <v>1.8649789029535866</v>
      </c>
      <c r="T239" s="5" t="s">
        <v>45</v>
      </c>
      <c r="U239" s="5" t="s">
        <v>57</v>
      </c>
      <c r="V239" s="5" t="s">
        <v>60</v>
      </c>
      <c r="W239" s="5" t="s">
        <v>65</v>
      </c>
      <c r="X239" s="5" t="s">
        <v>68</v>
      </c>
      <c r="Y239" s="5" t="s">
        <v>44</v>
      </c>
      <c r="Z239" s="5"/>
      <c r="AA239" s="5"/>
      <c r="AB239" s="9" t="s">
        <v>44</v>
      </c>
      <c r="AC239" s="2" t="s">
        <v>46</v>
      </c>
      <c r="AD239" s="2">
        <v>0</v>
      </c>
      <c r="AE239" s="2" t="s">
        <v>52</v>
      </c>
      <c r="AF239" s="2" t="str">
        <f t="shared" si="3"/>
        <v>Abnormal</v>
      </c>
      <c r="AG239" s="5">
        <v>1</v>
      </c>
      <c r="AH239" s="5" t="str">
        <f>IF(AG239=0,"Normal",
IF(AND(T239="Yes",S239&gt;=2),"ALD",
IF(AND(T239="Yes",S239&gt;=2,O239&gt;N239),"ALD",
IF(AND(T239="No",S239&gt;=2),"ALD",
IF(AND(G239&gt;=25,OR(T239="No",AND(T239="Yes",S239&lt;1))),"NAFLD",
IF(AND(N239&gt;O239,N239&gt;40,S239&lt;1),"NAFLD",
IF(AND(T239="Yes",S239&lt;1,G239&gt;=25,N239&gt;O239),"NAFLD",
IF(OR(P239&gt;1.2,Q239&gt;0.3),"Hyperbilirubinemia",
"Others"))))))))</f>
        <v>Others</v>
      </c>
      <c r="AI239" s="5" t="str">
        <f>IF(AG239=0,"Normal",
IF(AND(T239="Yes",S239&gt;=2),"ALD (Confirmed)",
IF(AND(T239="Yes",S239&gt;=2,O239&gt;N239),"ALD (Confirmed)",
IF(AND(T239="No",S239&gt;=2),"ALD (Probable)",
IF(AND(G239&gt;=25,OR(T239="No",AND(T239="Yes",S239&lt;1))),"NAFLD",
IF(AND(N239&gt;O239,N239&gt;40,S239&lt;1),"NAFLD",
IF(AND(T239="Yes",S239&lt;1,G239&gt;=25,N239&gt;O239),"NAFLD",
IF(OR(P239&gt;1.2,Q239&gt;0.3),"Hyperbilirubinemia",
"Others"))))))))</f>
        <v>Others</v>
      </c>
      <c r="AJ239" s="5">
        <v>21</v>
      </c>
      <c r="AK239" s="5" t="s">
        <v>35</v>
      </c>
    </row>
    <row r="240" spans="1:37" ht="43.2" x14ac:dyDescent="0.3">
      <c r="A240" s="5">
        <v>248</v>
      </c>
      <c r="B240" s="5" t="s">
        <v>39</v>
      </c>
      <c r="C240" s="5">
        <v>36</v>
      </c>
      <c r="D240" s="2">
        <v>12</v>
      </c>
      <c r="E240" s="5">
        <v>160</v>
      </c>
      <c r="F240" s="5">
        <v>75</v>
      </c>
      <c r="G240" s="6">
        <v>29.296875</v>
      </c>
      <c r="H240" s="9" t="s">
        <v>42</v>
      </c>
      <c r="I240" s="2">
        <v>34</v>
      </c>
      <c r="J240" s="5" t="s">
        <v>44</v>
      </c>
      <c r="K240" s="5" t="s">
        <v>44</v>
      </c>
      <c r="L240" s="5" t="s">
        <v>44</v>
      </c>
      <c r="M240" s="5" t="s">
        <v>44</v>
      </c>
      <c r="N240" s="5">
        <v>68</v>
      </c>
      <c r="O240" s="5">
        <v>55.5</v>
      </c>
      <c r="P240" s="5">
        <v>0.52</v>
      </c>
      <c r="Q240" s="5">
        <v>0.1</v>
      </c>
      <c r="R240" s="5">
        <v>0.42</v>
      </c>
      <c r="S240" s="8">
        <v>0.81617647058823528</v>
      </c>
      <c r="T240" s="5" t="s">
        <v>45</v>
      </c>
      <c r="U240" s="5" t="s">
        <v>56</v>
      </c>
      <c r="V240" s="5" t="s">
        <v>60</v>
      </c>
      <c r="W240" s="5" t="s">
        <v>65</v>
      </c>
      <c r="X240" s="5" t="s">
        <v>68</v>
      </c>
      <c r="Y240" s="5" t="s">
        <v>44</v>
      </c>
      <c r="Z240" s="5"/>
      <c r="AA240" s="5"/>
      <c r="AB240" s="9" t="s">
        <v>44</v>
      </c>
      <c r="AC240" s="2" t="s">
        <v>46</v>
      </c>
      <c r="AD240" s="2">
        <v>0</v>
      </c>
      <c r="AE240" s="2" t="s">
        <v>52</v>
      </c>
      <c r="AF240" s="2" t="str">
        <f t="shared" si="3"/>
        <v>Abnormal</v>
      </c>
      <c r="AG240" s="5">
        <v>1</v>
      </c>
      <c r="AH240" s="5" t="str">
        <f>IF(AG240=0,"Normal",
IF(AND(T240="Yes",S240&gt;=2),"ALD",
IF(AND(T240="Yes",S240&gt;=2,O240&gt;N240),"ALD",
IF(AND(T240="No",S240&gt;=2),"ALD",
IF(AND(G240&gt;=25,OR(T240="No",AND(T240="Yes",S240&lt;1))),"NAFLD",
IF(AND(N240&gt;O240,N240&gt;40,S240&lt;1),"NAFLD",
IF(AND(T240="Yes",S240&lt;1,G240&gt;=25,N240&gt;O240),"NAFLD",
IF(OR(P240&gt;1.2,Q240&gt;0.3),"Hyperbilirubinemia",
"Others"))))))))</f>
        <v>NAFLD</v>
      </c>
      <c r="AI240" s="5" t="str">
        <f>IF(AG240=0,"Normal",
IF(AND(T240="Yes",S240&gt;=2),"ALD (Confirmed)",
IF(AND(T240="Yes",S240&gt;=2,O240&gt;N240),"ALD (Confirmed)",
IF(AND(T240="No",S240&gt;=2),"ALD (Probable)",
IF(AND(G240&gt;=25,OR(T240="No",AND(T240="Yes",S240&lt;1))),"NAFLD",
IF(AND(N240&gt;O240,N240&gt;40,S240&lt;1),"NAFLD",
IF(AND(T240="Yes",S240&lt;1,G240&gt;=25,N240&gt;O240),"NAFLD",
IF(OR(P240&gt;1.2,Q240&gt;0.3),"Hyperbilirubinemia",
"Others"))))))))</f>
        <v>NAFLD</v>
      </c>
      <c r="AJ240" s="5">
        <v>36</v>
      </c>
      <c r="AK240" s="5" t="s">
        <v>35</v>
      </c>
    </row>
    <row r="241" spans="1:37" ht="28.8" x14ac:dyDescent="0.3">
      <c r="A241" s="5">
        <v>249</v>
      </c>
      <c r="B241" s="5" t="s">
        <v>39</v>
      </c>
      <c r="C241" s="5">
        <v>36</v>
      </c>
      <c r="D241" s="2">
        <v>13</v>
      </c>
      <c r="E241" s="5">
        <v>173</v>
      </c>
      <c r="F241" s="5">
        <v>78</v>
      </c>
      <c r="G241" s="6">
        <v>26.061679307694877</v>
      </c>
      <c r="H241" s="9" t="s">
        <v>42</v>
      </c>
      <c r="I241" s="2">
        <v>36</v>
      </c>
      <c r="J241" s="5" t="s">
        <v>44</v>
      </c>
      <c r="K241" s="5" t="s">
        <v>44</v>
      </c>
      <c r="L241" s="5" t="s">
        <v>44</v>
      </c>
      <c r="M241" s="5" t="s">
        <v>44</v>
      </c>
      <c r="N241" s="5">
        <v>41.91</v>
      </c>
      <c r="O241" s="5">
        <v>24.25</v>
      </c>
      <c r="P241" s="5">
        <v>0.55000000000000004</v>
      </c>
      <c r="Q241" s="5">
        <v>0.18</v>
      </c>
      <c r="R241" s="5">
        <v>0.37</v>
      </c>
      <c r="S241" s="8">
        <v>0.57862085421140541</v>
      </c>
      <c r="T241" s="5" t="s">
        <v>44</v>
      </c>
      <c r="U241" s="5"/>
      <c r="V241" s="5"/>
      <c r="W241" s="5"/>
      <c r="X241" s="5"/>
      <c r="Y241" s="5" t="s">
        <v>44</v>
      </c>
      <c r="Z241" s="5"/>
      <c r="AA241" s="5"/>
      <c r="AB241" s="9" t="s">
        <v>44</v>
      </c>
      <c r="AC241" s="2" t="s">
        <v>47</v>
      </c>
      <c r="AD241" s="2">
        <v>0</v>
      </c>
      <c r="AE241" s="2" t="s">
        <v>52</v>
      </c>
      <c r="AF241" s="2" t="str">
        <f t="shared" si="3"/>
        <v>Normal</v>
      </c>
      <c r="AG241" s="5">
        <v>0</v>
      </c>
      <c r="AH241" s="5" t="str">
        <f>IF(AG241=0,"Normal",
IF(AND(T241="Yes",S241&gt;=2),"ALD",
IF(AND(T241="Yes",S241&gt;=2,O241&gt;N241),"ALD",
IF(AND(T241="No",S241&gt;=2),"ALD",
IF(AND(G241&gt;=25,OR(T241="No",AND(T241="Yes",S241&lt;1))),"NAFLD",
IF(AND(N241&gt;O241,N241&gt;40,S241&lt;1),"NAFLD",
IF(AND(T241="Yes",S241&lt;1,G241&gt;=25,N241&gt;O241),"NAFLD",
IF(OR(P241&gt;1.2,Q241&gt;0.3),"Hyperbilirubinemia",
"Others"))))))))</f>
        <v>Normal</v>
      </c>
      <c r="AI241" s="5" t="str">
        <f>IF(AG241=0,"Normal",
IF(AND(T241="Yes",S241&gt;=2),"ALD (Confirmed)",
IF(AND(T241="Yes",S241&gt;=2,O241&gt;N241),"ALD (Confirmed)",
IF(AND(T241="No",S241&gt;=2),"ALD (Probable)",
IF(AND(G241&gt;=25,OR(T241="No",AND(T241="Yes",S241&lt;1))),"NAFLD",
IF(AND(N241&gt;O241,N241&gt;40,S241&lt;1),"NAFLD",
IF(AND(T241="Yes",S241&lt;1,G241&gt;=25,N241&gt;O241),"NAFLD",
IF(OR(P241&gt;1.2,Q241&gt;0.3),"Hyperbilirubinemia",
"Others"))))))))</f>
        <v>Normal</v>
      </c>
      <c r="AJ241" s="5">
        <v>13</v>
      </c>
      <c r="AK241" s="5" t="s">
        <v>34</v>
      </c>
    </row>
    <row r="242" spans="1:37" ht="43.2" x14ac:dyDescent="0.3">
      <c r="A242" s="5">
        <v>250</v>
      </c>
      <c r="B242" s="5" t="s">
        <v>39</v>
      </c>
      <c r="C242" s="5">
        <v>34</v>
      </c>
      <c r="D242" s="2">
        <v>12</v>
      </c>
      <c r="E242" s="5">
        <v>174</v>
      </c>
      <c r="F242" s="5">
        <v>70</v>
      </c>
      <c r="G242" s="6">
        <v>23.120623596247853</v>
      </c>
      <c r="H242" s="9" t="s">
        <v>33</v>
      </c>
      <c r="I242" s="2">
        <v>32</v>
      </c>
      <c r="J242" s="5" t="s">
        <v>44</v>
      </c>
      <c r="K242" s="5" t="s">
        <v>44</v>
      </c>
      <c r="L242" s="5" t="s">
        <v>44</v>
      </c>
      <c r="M242" s="5" t="s">
        <v>44</v>
      </c>
      <c r="N242" s="5">
        <v>29.4</v>
      </c>
      <c r="O242" s="5">
        <v>65.2</v>
      </c>
      <c r="P242" s="5">
        <v>0.44</v>
      </c>
      <c r="Q242" s="5">
        <v>0.08</v>
      </c>
      <c r="R242" s="5">
        <v>0.36</v>
      </c>
      <c r="S242" s="8">
        <v>2.2176870748299322</v>
      </c>
      <c r="T242" s="5" t="s">
        <v>44</v>
      </c>
      <c r="U242" s="5"/>
      <c r="V242" s="5"/>
      <c r="W242" s="5"/>
      <c r="X242" s="5"/>
      <c r="Y242" s="5" t="s">
        <v>44</v>
      </c>
      <c r="Z242" s="5"/>
      <c r="AA242" s="5"/>
      <c r="AB242" s="9" t="s">
        <v>44</v>
      </c>
      <c r="AC242" s="2" t="s">
        <v>47</v>
      </c>
      <c r="AD242" s="2">
        <v>0</v>
      </c>
      <c r="AE242" s="2" t="s">
        <v>52</v>
      </c>
      <c r="AF242" s="2" t="str">
        <f t="shared" si="3"/>
        <v>Abnormal</v>
      </c>
      <c r="AG242" s="5">
        <v>1</v>
      </c>
      <c r="AH242" s="5" t="str">
        <f>IF(AG242=0,"Normal",
IF(AND(T242="Yes",S242&gt;=2),"ALD",
IF(AND(T242="Yes",S242&gt;=2,O242&gt;N242),"ALD",
IF(AND(T242="No",S242&gt;=2),"ALD",
IF(AND(G242&gt;=25,OR(T242="No",AND(T242="Yes",S242&lt;1))),"NAFLD",
IF(AND(N242&gt;O242,N242&gt;40,S242&lt;1),"NAFLD",
IF(AND(T242="Yes",S242&lt;1,G242&gt;=25,N242&gt;O242),"NAFLD",
IF(OR(P242&gt;1.2,Q242&gt;0.3),"Hyperbilirubinemia",
"Others"))))))))</f>
        <v>ALD</v>
      </c>
      <c r="AI242" s="5" t="str">
        <f>IF(AG242=0,"Normal",
IF(AND(T242="Yes",S242&gt;=2),"ALD (Confirmed)",
IF(AND(T242="Yes",S242&gt;=2,O242&gt;N242),"ALD (Confirmed)",
IF(AND(T242="No",S242&gt;=2),"ALD (Probable)",
IF(AND(G242&gt;=25,OR(T242="No",AND(T242="Yes",S242&lt;1))),"NAFLD",
IF(AND(N242&gt;O242,N242&gt;40,S242&lt;1),"NAFLD",
IF(AND(T242="Yes",S242&lt;1,G242&gt;=25,N242&gt;O242),"NAFLD",
IF(OR(P242&gt;1.2,Q242&gt;0.3),"Hyperbilirubinemia",
"Others"))))))))</f>
        <v>ALD (Probable)</v>
      </c>
      <c r="AJ242" s="5">
        <v>10</v>
      </c>
      <c r="AK242" s="5" t="s">
        <v>34</v>
      </c>
    </row>
    <row r="243" spans="1:37" ht="43.2" x14ac:dyDescent="0.3">
      <c r="A243" s="5">
        <v>251</v>
      </c>
      <c r="B243" s="5" t="s">
        <v>39</v>
      </c>
      <c r="C243" s="5">
        <v>37</v>
      </c>
      <c r="D243" s="2">
        <v>6</v>
      </c>
      <c r="E243" s="5">
        <v>170</v>
      </c>
      <c r="F243" s="5">
        <v>80</v>
      </c>
      <c r="G243" s="6">
        <v>27.681660899653977</v>
      </c>
      <c r="H243" s="9" t="s">
        <v>42</v>
      </c>
      <c r="I243" s="2">
        <v>36</v>
      </c>
      <c r="J243" s="5" t="s">
        <v>44</v>
      </c>
      <c r="K243" s="5" t="s">
        <v>45</v>
      </c>
      <c r="L243" s="5" t="s">
        <v>44</v>
      </c>
      <c r="M243" s="5" t="s">
        <v>44</v>
      </c>
      <c r="N243" s="5">
        <v>57.04</v>
      </c>
      <c r="O243" s="5">
        <v>41.14</v>
      </c>
      <c r="P243" s="5">
        <v>0.44</v>
      </c>
      <c r="Q243" s="5">
        <v>0.09</v>
      </c>
      <c r="R243" s="5">
        <v>0.35</v>
      </c>
      <c r="S243" s="8">
        <v>0.72124824684431976</v>
      </c>
      <c r="T243" s="5" t="s">
        <v>44</v>
      </c>
      <c r="U243" s="5"/>
      <c r="V243" s="5"/>
      <c r="W243" s="5"/>
      <c r="X243" s="5"/>
      <c r="Y243" s="5" t="s">
        <v>44</v>
      </c>
      <c r="Z243" s="5"/>
      <c r="AA243" s="5"/>
      <c r="AB243" s="9" t="s">
        <v>44</v>
      </c>
      <c r="AC243" s="2" t="s">
        <v>46</v>
      </c>
      <c r="AD243" s="2">
        <v>0</v>
      </c>
      <c r="AE243" s="2" t="s">
        <v>49</v>
      </c>
      <c r="AF243" s="2" t="str">
        <f t="shared" si="3"/>
        <v>Abnormal</v>
      </c>
      <c r="AG243" s="5">
        <v>1</v>
      </c>
      <c r="AH243" s="5" t="str">
        <f>IF(AG243=0,"Normal",
IF(AND(T243="Yes",S243&gt;=2),"ALD",
IF(AND(T243="Yes",S243&gt;=2,O243&gt;N243),"ALD",
IF(AND(T243="No",S243&gt;=2),"ALD",
IF(AND(G243&gt;=25,OR(T243="No",AND(T243="Yes",S243&lt;1))),"NAFLD",
IF(AND(N243&gt;O243,N243&gt;40,S243&lt;1),"NAFLD",
IF(AND(T243="Yes",S243&lt;1,G243&gt;=25,N243&gt;O243),"NAFLD",
IF(OR(P243&gt;1.2,Q243&gt;0.3),"Hyperbilirubinemia",
"Others"))))))))</f>
        <v>NAFLD</v>
      </c>
      <c r="AI243" s="5" t="str">
        <f>IF(AG243=0,"Normal",
IF(AND(T243="Yes",S243&gt;=2),"ALD (Confirmed)",
IF(AND(T243="Yes",S243&gt;=2,O243&gt;N243),"ALD (Confirmed)",
IF(AND(T243="No",S243&gt;=2),"ALD (Probable)",
IF(AND(G243&gt;=25,OR(T243="No",AND(T243="Yes",S243&lt;1))),"NAFLD",
IF(AND(N243&gt;O243,N243&gt;40,S243&lt;1),"NAFLD",
IF(AND(T243="Yes",S243&lt;1,G243&gt;=25,N243&gt;O243),"NAFLD",
IF(OR(P243&gt;1.2,Q243&gt;0.3),"Hyperbilirubinemia",
"Others"))))))))</f>
        <v>NAFLD</v>
      </c>
      <c r="AJ243" s="5">
        <v>26</v>
      </c>
      <c r="AK243" s="5" t="s">
        <v>35</v>
      </c>
    </row>
    <row r="244" spans="1:37" ht="43.2" x14ac:dyDescent="0.3">
      <c r="A244" s="5">
        <v>252</v>
      </c>
      <c r="B244" s="5" t="s">
        <v>39</v>
      </c>
      <c r="C244" s="5">
        <v>23</v>
      </c>
      <c r="D244" s="2">
        <v>3</v>
      </c>
      <c r="E244" s="5">
        <v>162</v>
      </c>
      <c r="F244" s="5">
        <v>52</v>
      </c>
      <c r="G244" s="6">
        <v>19.814052735863434</v>
      </c>
      <c r="H244" s="9" t="s">
        <v>33</v>
      </c>
      <c r="I244" s="2">
        <v>30</v>
      </c>
      <c r="J244" s="5" t="s">
        <v>44</v>
      </c>
      <c r="K244" s="5" t="s">
        <v>44</v>
      </c>
      <c r="L244" s="5" t="s">
        <v>44</v>
      </c>
      <c r="M244" s="5" t="s">
        <v>45</v>
      </c>
      <c r="N244" s="5">
        <v>19.7</v>
      </c>
      <c r="O244" s="5">
        <v>35.6</v>
      </c>
      <c r="P244" s="5">
        <v>0.13</v>
      </c>
      <c r="Q244" s="5">
        <v>0.03</v>
      </c>
      <c r="R244" s="5">
        <v>0.1</v>
      </c>
      <c r="S244" s="8">
        <v>1.8071065989847717</v>
      </c>
      <c r="T244" s="5" t="s">
        <v>44</v>
      </c>
      <c r="U244" s="5"/>
      <c r="V244" s="5"/>
      <c r="W244" s="5"/>
      <c r="X244" s="5"/>
      <c r="Y244" s="5" t="s">
        <v>44</v>
      </c>
      <c r="Z244" s="5"/>
      <c r="AA244" s="5"/>
      <c r="AB244" s="9" t="s">
        <v>44</v>
      </c>
      <c r="AC244" s="2" t="s">
        <v>46</v>
      </c>
      <c r="AD244" s="2">
        <v>0</v>
      </c>
      <c r="AE244" s="2" t="s">
        <v>52</v>
      </c>
      <c r="AF244" s="2" t="str">
        <f t="shared" si="3"/>
        <v>Normal</v>
      </c>
      <c r="AG244" s="5">
        <v>0</v>
      </c>
      <c r="AH244" s="5" t="str">
        <f>IF(AG244=0,"Normal",
IF(AND(T244="Yes",S244&gt;=2),"ALD",
IF(AND(T244="Yes",S244&gt;=2,O244&gt;N244),"ALD",
IF(AND(T244="No",S244&gt;=2),"ALD",
IF(AND(G244&gt;=25,OR(T244="No",AND(T244="Yes",S244&lt;1))),"NAFLD",
IF(AND(N244&gt;O244,N244&gt;40,S244&lt;1),"NAFLD",
IF(AND(T244="Yes",S244&lt;1,G244&gt;=25,N244&gt;O244),"NAFLD",
IF(OR(P244&gt;1.2,Q244&gt;0.3),"Hyperbilirubinemia",
"Others"))))))))</f>
        <v>Normal</v>
      </c>
      <c r="AI244" s="5" t="str">
        <f>IF(AG244=0,"Normal",
IF(AND(T244="Yes",S244&gt;=2),"ALD (Confirmed)",
IF(AND(T244="Yes",S244&gt;=2,O244&gt;N244),"ALD (Confirmed)",
IF(AND(T244="No",S244&gt;=2),"ALD (Probable)",
IF(AND(G244&gt;=25,OR(T244="No",AND(T244="Yes",S244&lt;1))),"NAFLD",
IF(AND(N244&gt;O244,N244&gt;40,S244&lt;1),"NAFLD",
IF(AND(T244="Yes",S244&lt;1,G244&gt;=25,N244&gt;O244),"NAFLD",
IF(OR(P244&gt;1.2,Q244&gt;0.3),"Hyperbilirubinemia",
"Others"))))))))</f>
        <v>Normal</v>
      </c>
      <c r="AJ244" s="5">
        <v>6</v>
      </c>
      <c r="AK244" s="5" t="s">
        <v>34</v>
      </c>
    </row>
    <row r="245" spans="1:37" ht="43.2" x14ac:dyDescent="0.3">
      <c r="A245" s="5">
        <v>253</v>
      </c>
      <c r="B245" s="5" t="s">
        <v>39</v>
      </c>
      <c r="C245" s="5">
        <v>21</v>
      </c>
      <c r="D245" s="2">
        <v>1</v>
      </c>
      <c r="E245" s="5">
        <v>168</v>
      </c>
      <c r="F245" s="5">
        <v>60</v>
      </c>
      <c r="G245" s="6">
        <v>21.258503401360546</v>
      </c>
      <c r="H245" s="9" t="s">
        <v>33</v>
      </c>
      <c r="I245" s="2">
        <v>34</v>
      </c>
      <c r="J245" s="5" t="s">
        <v>44</v>
      </c>
      <c r="K245" s="5" t="s">
        <v>44</v>
      </c>
      <c r="L245" s="5" t="s">
        <v>44</v>
      </c>
      <c r="M245" s="5" t="s">
        <v>44</v>
      </c>
      <c r="N245" s="5">
        <v>43.68</v>
      </c>
      <c r="O245" s="5">
        <v>38.36</v>
      </c>
      <c r="P245" s="5">
        <v>0.3</v>
      </c>
      <c r="Q245" s="5">
        <v>0.05</v>
      </c>
      <c r="R245" s="5">
        <v>0.25</v>
      </c>
      <c r="S245" s="8">
        <v>0.87820512820512819</v>
      </c>
      <c r="T245" s="5" t="s">
        <v>44</v>
      </c>
      <c r="U245" s="5"/>
      <c r="V245" s="5"/>
      <c r="W245" s="5"/>
      <c r="X245" s="5"/>
      <c r="Y245" s="5" t="s">
        <v>44</v>
      </c>
      <c r="Z245" s="5"/>
      <c r="AA245" s="5"/>
      <c r="AB245" s="9" t="s">
        <v>44</v>
      </c>
      <c r="AC245" s="2" t="s">
        <v>46</v>
      </c>
      <c r="AD245" s="2">
        <v>0</v>
      </c>
      <c r="AE245" s="2" t="s">
        <v>49</v>
      </c>
      <c r="AF245" s="2" t="str">
        <f t="shared" si="3"/>
        <v>Normal</v>
      </c>
      <c r="AG245" s="5">
        <v>0</v>
      </c>
      <c r="AH245" s="5" t="str">
        <f>IF(AG245=0,"Normal",
IF(AND(T245="Yes",S245&gt;=2),"ALD",
IF(AND(T245="Yes",S245&gt;=2,O245&gt;N245),"ALD",
IF(AND(T245="No",S245&gt;=2),"ALD",
IF(AND(G245&gt;=25,OR(T245="No",AND(T245="Yes",S245&lt;1))),"NAFLD",
IF(AND(N245&gt;O245,N245&gt;40,S245&lt;1),"NAFLD",
IF(AND(T245="Yes",S245&lt;1,G245&gt;=25,N245&gt;O245),"NAFLD",
IF(OR(P245&gt;1.2,Q245&gt;0.3),"Hyperbilirubinemia",
"Others"))))))))</f>
        <v>Normal</v>
      </c>
      <c r="AI245" s="5" t="str">
        <f>IF(AG245=0,"Normal",
IF(AND(T245="Yes",S245&gt;=2),"ALD (Confirmed)",
IF(AND(T245="Yes",S245&gt;=2,O245&gt;N245),"ALD (Confirmed)",
IF(AND(T245="No",S245&gt;=2),"ALD (Probable)",
IF(AND(G245&gt;=25,OR(T245="No",AND(T245="Yes",S245&lt;1))),"NAFLD",
IF(AND(N245&gt;O245,N245&gt;40,S245&lt;1),"NAFLD",
IF(AND(T245="Yes",S245&lt;1,G245&gt;=25,N245&gt;O245),"NAFLD",
IF(OR(P245&gt;1.2,Q245&gt;0.3),"Hyperbilirubinemia",
"Others"))))))))</f>
        <v>Normal</v>
      </c>
      <c r="AJ245" s="5">
        <v>8</v>
      </c>
      <c r="AK245" s="5" t="s">
        <v>34</v>
      </c>
    </row>
    <row r="246" spans="1:37" ht="43.2" x14ac:dyDescent="0.3">
      <c r="A246" s="5">
        <v>254</v>
      </c>
      <c r="B246" s="5" t="s">
        <v>39</v>
      </c>
      <c r="C246" s="5">
        <v>32</v>
      </c>
      <c r="D246" s="2">
        <v>3</v>
      </c>
      <c r="E246" s="5">
        <v>168</v>
      </c>
      <c r="F246" s="5">
        <v>46</v>
      </c>
      <c r="G246" s="6">
        <v>16.298185941043084</v>
      </c>
      <c r="H246" s="9" t="s">
        <v>43</v>
      </c>
      <c r="I246" s="2">
        <v>28</v>
      </c>
      <c r="J246" s="5" t="s">
        <v>44</v>
      </c>
      <c r="K246" s="5" t="s">
        <v>44</v>
      </c>
      <c r="L246" s="5" t="s">
        <v>44</v>
      </c>
      <c r="M246" s="5" t="s">
        <v>44</v>
      </c>
      <c r="N246" s="5">
        <v>18.3</v>
      </c>
      <c r="O246" s="5">
        <v>39.200000000000003</v>
      </c>
      <c r="P246" s="5">
        <v>0.86</v>
      </c>
      <c r="Q246" s="5">
        <v>0.2</v>
      </c>
      <c r="R246" s="5">
        <v>0.66</v>
      </c>
      <c r="S246" s="8">
        <v>2.1420765027322406</v>
      </c>
      <c r="T246" s="5" t="s">
        <v>45</v>
      </c>
      <c r="U246" s="5" t="s">
        <v>57</v>
      </c>
      <c r="V246" s="5" t="s">
        <v>61</v>
      </c>
      <c r="W246" s="5" t="s">
        <v>65</v>
      </c>
      <c r="X246" s="5" t="s">
        <v>68</v>
      </c>
      <c r="Y246" s="5" t="s">
        <v>44</v>
      </c>
      <c r="Z246" s="5"/>
      <c r="AA246" s="5"/>
      <c r="AB246" s="9" t="s">
        <v>44</v>
      </c>
      <c r="AC246" s="2" t="s">
        <v>47</v>
      </c>
      <c r="AD246" s="2">
        <v>0</v>
      </c>
      <c r="AE246" s="2" t="s">
        <v>52</v>
      </c>
      <c r="AF246" s="2" t="str">
        <f t="shared" si="3"/>
        <v>Normal</v>
      </c>
      <c r="AG246" s="5">
        <v>0</v>
      </c>
      <c r="AH246" s="5" t="str">
        <f>IF(AG246=0,"Normal",
IF(AND(T246="Yes",S246&gt;=2),"ALD",
IF(AND(T246="Yes",S246&gt;=2,O246&gt;N246),"ALD",
IF(AND(T246="No",S246&gt;=2),"ALD",
IF(AND(G246&gt;=25,OR(T246="No",AND(T246="Yes",S246&lt;1))),"NAFLD",
IF(AND(N246&gt;O246,N246&gt;40,S246&lt;1),"NAFLD",
IF(AND(T246="Yes",S246&lt;1,G246&gt;=25,N246&gt;O246),"NAFLD",
IF(OR(P246&gt;1.2,Q246&gt;0.3),"Hyperbilirubinemia",
"Others"))))))))</f>
        <v>Normal</v>
      </c>
      <c r="AI246" s="5" t="str">
        <f>IF(AG246=0,"Normal",
IF(AND(T246="Yes",S246&gt;=2),"ALD (Confirmed)",
IF(AND(T246="Yes",S246&gt;=2,O246&gt;N246),"ALD (Confirmed)",
IF(AND(T246="No",S246&gt;=2),"ALD (Probable)",
IF(AND(G246&gt;=25,OR(T246="No",AND(T246="Yes",S246&lt;1))),"NAFLD",
IF(AND(N246&gt;O246,N246&gt;40,S246&lt;1),"NAFLD",
IF(AND(T246="Yes",S246&lt;1,G246&gt;=25,N246&gt;O246),"NAFLD",
IF(OR(P246&gt;1.2,Q246&gt;0.3),"Hyperbilirubinemia",
"Others"))))))))</f>
        <v>Normal</v>
      </c>
      <c r="AJ246" s="5">
        <v>13</v>
      </c>
      <c r="AK246" s="5" t="s">
        <v>34</v>
      </c>
    </row>
    <row r="247" spans="1:37" ht="43.2" x14ac:dyDescent="0.3">
      <c r="A247" s="5">
        <v>256</v>
      </c>
      <c r="B247" s="5" t="s">
        <v>39</v>
      </c>
      <c r="C247" s="5">
        <v>32</v>
      </c>
      <c r="D247" s="2">
        <v>10</v>
      </c>
      <c r="E247" s="5">
        <v>171</v>
      </c>
      <c r="F247" s="5">
        <v>84</v>
      </c>
      <c r="G247" s="6">
        <v>28.726787729557813</v>
      </c>
      <c r="H247" s="9" t="s">
        <v>42</v>
      </c>
      <c r="I247" s="2">
        <v>34</v>
      </c>
      <c r="J247" s="5" t="s">
        <v>44</v>
      </c>
      <c r="K247" s="5" t="s">
        <v>44</v>
      </c>
      <c r="L247" s="5" t="s">
        <v>44</v>
      </c>
      <c r="M247" s="5" t="s">
        <v>44</v>
      </c>
      <c r="N247" s="5">
        <v>76.599999999999994</v>
      </c>
      <c r="O247" s="5">
        <v>32.9</v>
      </c>
      <c r="P247" s="5">
        <v>0.41</v>
      </c>
      <c r="Q247" s="5">
        <v>0.12</v>
      </c>
      <c r="R247" s="5">
        <v>0.28999999999999998</v>
      </c>
      <c r="S247" s="8">
        <v>0.4295039164490862</v>
      </c>
      <c r="T247" s="5" t="s">
        <v>44</v>
      </c>
      <c r="U247" s="5"/>
      <c r="V247" s="5"/>
      <c r="W247" s="5"/>
      <c r="X247" s="5"/>
      <c r="Y247" s="5" t="s">
        <v>44</v>
      </c>
      <c r="Z247" s="5"/>
      <c r="AA247" s="5"/>
      <c r="AB247" s="9" t="s">
        <v>44</v>
      </c>
      <c r="AC247" s="2" t="s">
        <v>46</v>
      </c>
      <c r="AD247" s="2">
        <v>0</v>
      </c>
      <c r="AE247" s="2" t="s">
        <v>52</v>
      </c>
      <c r="AF247" s="2" t="str">
        <f t="shared" si="3"/>
        <v>Abnormal</v>
      </c>
      <c r="AG247" s="5">
        <v>1</v>
      </c>
      <c r="AH247" s="5" t="str">
        <f>IF(AG247=0,"Normal",
IF(AND(T247="Yes",S247&gt;=2),"ALD",
IF(AND(T247="Yes",S247&gt;=2,O247&gt;N247),"ALD",
IF(AND(T247="No",S247&gt;=2),"ALD",
IF(AND(G247&gt;=25,OR(T247="No",AND(T247="Yes",S247&lt;1))),"NAFLD",
IF(AND(N247&gt;O247,N247&gt;40,S247&lt;1),"NAFLD",
IF(AND(T247="Yes",S247&lt;1,G247&gt;=25,N247&gt;O247),"NAFLD",
IF(OR(P247&gt;1.2,Q247&gt;0.3),"Hyperbilirubinemia",
"Others"))))))))</f>
        <v>NAFLD</v>
      </c>
      <c r="AI247" s="5" t="str">
        <f>IF(AG247=0,"Normal",
IF(AND(T247="Yes",S247&gt;=2),"ALD (Confirmed)",
IF(AND(T247="Yes",S247&gt;=2,O247&gt;N247),"ALD (Confirmed)",
IF(AND(T247="No",S247&gt;=2),"ALD (Probable)",
IF(AND(G247&gt;=25,OR(T247="No",AND(T247="Yes",S247&lt;1))),"NAFLD",
IF(AND(N247&gt;O247,N247&gt;40,S247&lt;1),"NAFLD",
IF(AND(T247="Yes",S247&lt;1,G247&gt;=25,N247&gt;O247),"NAFLD",
IF(OR(P247&gt;1.2,Q247&gt;0.3),"Hyperbilirubinemia",
"Others"))))))))</f>
        <v>NAFLD</v>
      </c>
      <c r="AJ247" s="5">
        <v>22</v>
      </c>
      <c r="AK247" s="5" t="s">
        <v>35</v>
      </c>
    </row>
    <row r="248" spans="1:37" ht="43.2" x14ac:dyDescent="0.3">
      <c r="A248" s="5">
        <v>257</v>
      </c>
      <c r="B248" s="5" t="s">
        <v>39</v>
      </c>
      <c r="C248" s="5">
        <v>29</v>
      </c>
      <c r="D248" s="2">
        <v>6</v>
      </c>
      <c r="E248" s="5">
        <v>164</v>
      </c>
      <c r="F248" s="5">
        <v>78</v>
      </c>
      <c r="G248" s="6">
        <v>29.000594883997621</v>
      </c>
      <c r="H248" s="9" t="s">
        <v>42</v>
      </c>
      <c r="I248" s="2">
        <v>34</v>
      </c>
      <c r="J248" s="5" t="s">
        <v>44</v>
      </c>
      <c r="K248" s="5" t="s">
        <v>44</v>
      </c>
      <c r="L248" s="5" t="s">
        <v>44</v>
      </c>
      <c r="M248" s="5" t="s">
        <v>44</v>
      </c>
      <c r="N248" s="5">
        <v>17.46</v>
      </c>
      <c r="O248" s="5">
        <v>19.86</v>
      </c>
      <c r="P248" s="5">
        <v>0.57999999999999996</v>
      </c>
      <c r="Q248" s="5">
        <v>0.09</v>
      </c>
      <c r="R248" s="5">
        <v>0.49</v>
      </c>
      <c r="S248" s="8">
        <v>1.1374570446735395</v>
      </c>
      <c r="T248" s="5" t="s">
        <v>44</v>
      </c>
      <c r="U248" s="5"/>
      <c r="V248" s="5"/>
      <c r="W248" s="5"/>
      <c r="X248" s="5"/>
      <c r="Y248" s="5" t="s">
        <v>44</v>
      </c>
      <c r="Z248" s="5"/>
      <c r="AA248" s="5"/>
      <c r="AB248" s="9" t="s">
        <v>44</v>
      </c>
      <c r="AC248" s="2" t="s">
        <v>46</v>
      </c>
      <c r="AD248" s="2">
        <v>0</v>
      </c>
      <c r="AE248" s="2" t="s">
        <v>52</v>
      </c>
      <c r="AF248" s="2" t="str">
        <f t="shared" si="3"/>
        <v>Normal</v>
      </c>
      <c r="AG248" s="5">
        <v>0</v>
      </c>
      <c r="AH248" s="5" t="str">
        <f>IF(AG248=0,"Normal",
IF(AND(T248="Yes",S248&gt;=2),"ALD",
IF(AND(T248="Yes",S248&gt;=2,O248&gt;N248),"ALD",
IF(AND(T248="No",S248&gt;=2),"ALD",
IF(AND(G248&gt;=25,OR(T248="No",AND(T248="Yes",S248&lt;1))),"NAFLD",
IF(AND(N248&gt;O248,N248&gt;40,S248&lt;1),"NAFLD",
IF(AND(T248="Yes",S248&lt;1,G248&gt;=25,N248&gt;O248),"NAFLD",
IF(OR(P248&gt;1.2,Q248&gt;0.3),"Hyperbilirubinemia",
"Others"))))))))</f>
        <v>Normal</v>
      </c>
      <c r="AI248" s="5" t="str">
        <f>IF(AG248=0,"Normal",
IF(AND(T248="Yes",S248&gt;=2),"ALD (Confirmed)",
IF(AND(T248="Yes",S248&gt;=2,O248&gt;N248),"ALD (Confirmed)",
IF(AND(T248="No",S248&gt;=2),"ALD (Probable)",
IF(AND(G248&gt;=25,OR(T248="No",AND(T248="Yes",S248&lt;1))),"NAFLD",
IF(AND(N248&gt;O248,N248&gt;40,S248&lt;1),"NAFLD",
IF(AND(T248="Yes",S248&lt;1,G248&gt;=25,N248&gt;O248),"NAFLD",
IF(OR(P248&gt;1.2,Q248&gt;0.3),"Hyperbilirubinemia",
"Others"))))))))</f>
        <v>Normal</v>
      </c>
      <c r="AJ248" s="5">
        <v>16</v>
      </c>
      <c r="AK248" s="5" t="s">
        <v>34</v>
      </c>
    </row>
    <row r="249" spans="1:37" ht="28.8" x14ac:dyDescent="0.3">
      <c r="A249" s="5">
        <v>258</v>
      </c>
      <c r="B249" s="5" t="s">
        <v>39</v>
      </c>
      <c r="C249" s="5">
        <v>40</v>
      </c>
      <c r="D249" s="2">
        <v>12</v>
      </c>
      <c r="E249" s="5">
        <v>160</v>
      </c>
      <c r="F249" s="5">
        <v>74</v>
      </c>
      <c r="G249" s="6">
        <v>28.90625</v>
      </c>
      <c r="H249" s="9" t="s">
        <v>42</v>
      </c>
      <c r="I249" s="2">
        <v>34</v>
      </c>
      <c r="J249" s="5" t="s">
        <v>44</v>
      </c>
      <c r="K249" s="5" t="s">
        <v>44</v>
      </c>
      <c r="L249" s="5" t="s">
        <v>44</v>
      </c>
      <c r="M249" s="5" t="s">
        <v>44</v>
      </c>
      <c r="N249" s="5">
        <v>31.4</v>
      </c>
      <c r="O249" s="5">
        <v>35.200000000000003</v>
      </c>
      <c r="P249" s="5">
        <v>0.32</v>
      </c>
      <c r="Q249" s="5">
        <v>0.12</v>
      </c>
      <c r="R249" s="5">
        <v>0.2</v>
      </c>
      <c r="S249" s="8">
        <v>1.121019108280255</v>
      </c>
      <c r="T249" s="5" t="s">
        <v>44</v>
      </c>
      <c r="U249" s="5"/>
      <c r="V249" s="5"/>
      <c r="W249" s="5"/>
      <c r="X249" s="5"/>
      <c r="Y249" s="5" t="s">
        <v>44</v>
      </c>
      <c r="Z249" s="5"/>
      <c r="AA249" s="5"/>
      <c r="AB249" s="9" t="s">
        <v>44</v>
      </c>
      <c r="AC249" s="2" t="s">
        <v>47</v>
      </c>
      <c r="AD249" s="2">
        <v>0</v>
      </c>
      <c r="AE249" s="2" t="s">
        <v>49</v>
      </c>
      <c r="AF249" s="2" t="str">
        <f t="shared" si="3"/>
        <v>Normal</v>
      </c>
      <c r="AG249" s="5">
        <v>0</v>
      </c>
      <c r="AH249" s="5" t="str">
        <f>IF(AG249=0,"Normal",
IF(AND(T249="Yes",S249&gt;=2),"ALD",
IF(AND(T249="Yes",S249&gt;=2,O249&gt;N249),"ALD",
IF(AND(T249="No",S249&gt;=2),"ALD",
IF(AND(G249&gt;=25,OR(T249="No",AND(T249="Yes",S249&lt;1))),"NAFLD",
IF(AND(N249&gt;O249,N249&gt;40,S249&lt;1),"NAFLD",
IF(AND(T249="Yes",S249&lt;1,G249&gt;=25,N249&gt;O249),"NAFLD",
IF(OR(P249&gt;1.2,Q249&gt;0.3),"Hyperbilirubinemia",
"Others"))))))))</f>
        <v>Normal</v>
      </c>
      <c r="AI249" s="5" t="str">
        <f>IF(AG249=0,"Normal",
IF(AND(T249="Yes",S249&gt;=2),"ALD (Confirmed)",
IF(AND(T249="Yes",S249&gt;=2,O249&gt;N249),"ALD (Confirmed)",
IF(AND(T249="No",S249&gt;=2),"ALD (Probable)",
IF(AND(G249&gt;=25,OR(T249="No",AND(T249="Yes",S249&lt;1))),"NAFLD",
IF(AND(N249&gt;O249,N249&gt;40,S249&lt;1),"NAFLD",
IF(AND(T249="Yes",S249&lt;1,G249&gt;=25,N249&gt;O249),"NAFLD",
IF(OR(P249&gt;1.2,Q249&gt;0.3),"Hyperbilirubinemia",
"Others"))))))))</f>
        <v>Normal</v>
      </c>
      <c r="AJ249" s="5">
        <v>15</v>
      </c>
      <c r="AK249" s="5" t="s">
        <v>34</v>
      </c>
    </row>
    <row r="250" spans="1:37" ht="43.2" x14ac:dyDescent="0.3">
      <c r="A250" s="5">
        <v>259</v>
      </c>
      <c r="B250" s="5" t="s">
        <v>39</v>
      </c>
      <c r="C250" s="5">
        <v>32</v>
      </c>
      <c r="D250" s="2">
        <v>8</v>
      </c>
      <c r="E250" s="5">
        <v>158</v>
      </c>
      <c r="F250" s="5">
        <v>63</v>
      </c>
      <c r="G250" s="6">
        <v>25.236340330075311</v>
      </c>
      <c r="H250" s="9" t="s">
        <v>42</v>
      </c>
      <c r="I250" s="2">
        <v>32</v>
      </c>
      <c r="J250" s="5" t="s">
        <v>44</v>
      </c>
      <c r="K250" s="5" t="s">
        <v>44</v>
      </c>
      <c r="L250" s="5" t="s">
        <v>44</v>
      </c>
      <c r="M250" s="5" t="s">
        <v>44</v>
      </c>
      <c r="N250" s="5">
        <v>27.7</v>
      </c>
      <c r="O250" s="5">
        <v>38.6</v>
      </c>
      <c r="P250" s="5">
        <v>0.33</v>
      </c>
      <c r="Q250" s="5">
        <v>0.1</v>
      </c>
      <c r="R250" s="5">
        <v>0.23</v>
      </c>
      <c r="S250" s="8">
        <v>1.3935018050541517</v>
      </c>
      <c r="T250" s="5" t="s">
        <v>45</v>
      </c>
      <c r="U250" s="5" t="s">
        <v>57</v>
      </c>
      <c r="V250" s="5" t="s">
        <v>61</v>
      </c>
      <c r="W250" s="5" t="s">
        <v>65</v>
      </c>
      <c r="X250" s="5" t="s">
        <v>68</v>
      </c>
      <c r="Y250" s="5" t="s">
        <v>44</v>
      </c>
      <c r="Z250" s="5"/>
      <c r="AA250" s="5"/>
      <c r="AB250" s="9" t="s">
        <v>44</v>
      </c>
      <c r="AC250" s="2" t="s">
        <v>46</v>
      </c>
      <c r="AD250" s="2">
        <v>0</v>
      </c>
      <c r="AE250" s="2" t="s">
        <v>52</v>
      </c>
      <c r="AF250" s="2" t="str">
        <f t="shared" si="3"/>
        <v>Normal</v>
      </c>
      <c r="AG250" s="5">
        <v>0</v>
      </c>
      <c r="AH250" s="5" t="str">
        <f>IF(AG250=0,"Normal",
IF(AND(T250="Yes",S250&gt;=2),"ALD",
IF(AND(T250="Yes",S250&gt;=2,O250&gt;N250),"ALD",
IF(AND(T250="No",S250&gt;=2),"ALD",
IF(AND(G250&gt;=25,OR(T250="No",AND(T250="Yes",S250&lt;1))),"NAFLD",
IF(AND(N250&gt;O250,N250&gt;40,S250&lt;1),"NAFLD",
IF(AND(T250="Yes",S250&lt;1,G250&gt;=25,N250&gt;O250),"NAFLD",
IF(OR(P250&gt;1.2,Q250&gt;0.3),"Hyperbilirubinemia",
"Others"))))))))</f>
        <v>Normal</v>
      </c>
      <c r="AI250" s="5" t="str">
        <f>IF(AG250=0,"Normal",
IF(AND(T250="Yes",S250&gt;=2),"ALD (Confirmed)",
IF(AND(T250="Yes",S250&gt;=2,O250&gt;N250),"ALD (Confirmed)",
IF(AND(T250="No",S250&gt;=2),"ALD (Probable)",
IF(AND(G250&gt;=25,OR(T250="No",AND(T250="Yes",S250&lt;1))),"NAFLD",
IF(AND(N250&gt;O250,N250&gt;40,S250&lt;1),"NAFLD",
IF(AND(T250="Yes",S250&lt;1,G250&gt;=25,N250&gt;O250),"NAFLD",
IF(OR(P250&gt;1.2,Q250&gt;0.3),"Hyperbilirubinemia",
"Others"))))))))</f>
        <v>Normal</v>
      </c>
      <c r="AJ250" s="5">
        <v>20</v>
      </c>
      <c r="AK250" s="5" t="s">
        <v>34</v>
      </c>
    </row>
    <row r="251" spans="1:37" ht="43.2" x14ac:dyDescent="0.3">
      <c r="A251" s="5">
        <v>260</v>
      </c>
      <c r="B251" s="5" t="s">
        <v>39</v>
      </c>
      <c r="C251" s="5">
        <v>43</v>
      </c>
      <c r="D251" s="2">
        <v>20</v>
      </c>
      <c r="E251" s="5">
        <v>160</v>
      </c>
      <c r="F251" s="5">
        <v>62</v>
      </c>
      <c r="G251" s="6">
        <v>24.21875</v>
      </c>
      <c r="H251" s="9" t="s">
        <v>33</v>
      </c>
      <c r="I251" s="2">
        <v>30</v>
      </c>
      <c r="J251" s="5" t="s">
        <v>44</v>
      </c>
      <c r="K251" s="5" t="s">
        <v>44</v>
      </c>
      <c r="L251" s="5" t="s">
        <v>44</v>
      </c>
      <c r="M251" s="5" t="s">
        <v>44</v>
      </c>
      <c r="N251" s="5">
        <v>31.9</v>
      </c>
      <c r="O251" s="5">
        <v>56.8</v>
      </c>
      <c r="P251" s="5">
        <v>0.3</v>
      </c>
      <c r="Q251" s="5">
        <v>0.08</v>
      </c>
      <c r="R251" s="5">
        <v>0.22</v>
      </c>
      <c r="S251" s="8">
        <v>1.780564263322884</v>
      </c>
      <c r="T251" s="5" t="s">
        <v>44</v>
      </c>
      <c r="U251" s="5"/>
      <c r="V251" s="5"/>
      <c r="W251" s="5"/>
      <c r="X251" s="5"/>
      <c r="Y251" s="5" t="s">
        <v>44</v>
      </c>
      <c r="Z251" s="5"/>
      <c r="AA251" s="5"/>
      <c r="AB251" s="9" t="s">
        <v>44</v>
      </c>
      <c r="AC251" s="2" t="s">
        <v>46</v>
      </c>
      <c r="AD251" s="2">
        <v>0</v>
      </c>
      <c r="AE251" s="2" t="s">
        <v>49</v>
      </c>
      <c r="AF251" s="2" t="str">
        <f t="shared" si="3"/>
        <v>Abnormal</v>
      </c>
      <c r="AG251" s="5">
        <v>1</v>
      </c>
      <c r="AH251" s="5" t="str">
        <f>IF(AG251=0,"Normal",
IF(AND(T251="Yes",S251&gt;=2),"ALD",
IF(AND(T251="Yes",S251&gt;=2,O251&gt;N251),"ALD",
IF(AND(T251="No",S251&gt;=2),"ALD",
IF(AND(G251&gt;=25,OR(T251="No",AND(T251="Yes",S251&lt;1))),"NAFLD",
IF(AND(N251&gt;O251,N251&gt;40,S251&lt;1),"NAFLD",
IF(AND(T251="Yes",S251&lt;1,G251&gt;=25,N251&gt;O251),"NAFLD",
IF(OR(P251&gt;1.2,Q251&gt;0.3),"Hyperbilirubinemia",
"Others"))))))))</f>
        <v>Others</v>
      </c>
      <c r="AI251" s="5" t="str">
        <f>IF(AG251=0,"Normal",
IF(AND(T251="Yes",S251&gt;=2),"ALD (Confirmed)",
IF(AND(T251="Yes",S251&gt;=2,O251&gt;N251),"ALD (Confirmed)",
IF(AND(T251="No",S251&gt;=2),"ALD (Probable)",
IF(AND(G251&gt;=25,OR(T251="No",AND(T251="Yes",S251&lt;1))),"NAFLD",
IF(AND(N251&gt;O251,N251&gt;40,S251&lt;1),"NAFLD",
IF(AND(T251="Yes",S251&lt;1,G251&gt;=25,N251&gt;O251),"NAFLD",
IF(OR(P251&gt;1.2,Q251&gt;0.3),"Hyperbilirubinemia",
"Others"))))))))</f>
        <v>Others</v>
      </c>
      <c r="AJ251" s="5">
        <v>10</v>
      </c>
      <c r="AK251" s="5" t="s">
        <v>34</v>
      </c>
    </row>
    <row r="252" spans="1:37" ht="43.2" x14ac:dyDescent="0.3">
      <c r="A252" s="5">
        <v>261</v>
      </c>
      <c r="B252" s="5" t="s">
        <v>39</v>
      </c>
      <c r="C252" s="5">
        <v>31</v>
      </c>
      <c r="D252" s="2">
        <v>7</v>
      </c>
      <c r="E252" s="5">
        <v>175</v>
      </c>
      <c r="F252" s="5">
        <v>70</v>
      </c>
      <c r="G252" s="6">
        <v>22.857142857142858</v>
      </c>
      <c r="H252" s="9" t="s">
        <v>33</v>
      </c>
      <c r="I252" s="2">
        <v>32</v>
      </c>
      <c r="J252" s="5" t="s">
        <v>44</v>
      </c>
      <c r="K252" s="5" t="s">
        <v>44</v>
      </c>
      <c r="L252" s="5" t="s">
        <v>44</v>
      </c>
      <c r="M252" s="5" t="s">
        <v>45</v>
      </c>
      <c r="N252" s="5">
        <v>51.7</v>
      </c>
      <c r="O252" s="5">
        <v>32.799999999999997</v>
      </c>
      <c r="P252" s="5">
        <v>0.2</v>
      </c>
      <c r="Q252" s="5">
        <v>7.0000000000000007E-2</v>
      </c>
      <c r="R252" s="5">
        <v>0.13</v>
      </c>
      <c r="S252" s="8">
        <v>0.63442940038684714</v>
      </c>
      <c r="T252" s="5" t="s">
        <v>45</v>
      </c>
      <c r="U252" s="5" t="s">
        <v>56</v>
      </c>
      <c r="V252" s="5" t="s">
        <v>61</v>
      </c>
      <c r="W252" s="5" t="s">
        <v>65</v>
      </c>
      <c r="X252" s="5" t="s">
        <v>67</v>
      </c>
      <c r="Y252" s="5" t="s">
        <v>44</v>
      </c>
      <c r="Z252" s="5"/>
      <c r="AA252" s="5"/>
      <c r="AB252" s="9" t="s">
        <v>44</v>
      </c>
      <c r="AC252" s="2" t="s">
        <v>46</v>
      </c>
      <c r="AD252" s="2">
        <v>0</v>
      </c>
      <c r="AE252" s="2" t="s">
        <v>52</v>
      </c>
      <c r="AF252" s="2" t="str">
        <f t="shared" si="3"/>
        <v>Normal</v>
      </c>
      <c r="AG252" s="5">
        <v>0</v>
      </c>
      <c r="AH252" s="5" t="str">
        <f>IF(AG252=0,"Normal",
IF(AND(T252="Yes",S252&gt;=2),"ALD",
IF(AND(T252="Yes",S252&gt;=2,O252&gt;N252),"ALD",
IF(AND(T252="No",S252&gt;=2),"ALD",
IF(AND(G252&gt;=25,OR(T252="No",AND(T252="Yes",S252&lt;1))),"NAFLD",
IF(AND(N252&gt;O252,N252&gt;40,S252&lt;1),"NAFLD",
IF(AND(T252="Yes",S252&lt;1,G252&gt;=25,N252&gt;O252),"NAFLD",
IF(OR(P252&gt;1.2,Q252&gt;0.3),"Hyperbilirubinemia",
"Others"))))))))</f>
        <v>Normal</v>
      </c>
      <c r="AI252" s="5" t="str">
        <f>IF(AG252=0,"Normal",
IF(AND(T252="Yes",S252&gt;=2),"ALD (Confirmed)",
IF(AND(T252="Yes",S252&gt;=2,O252&gt;N252),"ALD (Confirmed)",
IF(AND(T252="No",S252&gt;=2),"ALD (Probable)",
IF(AND(G252&gt;=25,OR(T252="No",AND(T252="Yes",S252&lt;1))),"NAFLD",
IF(AND(N252&gt;O252,N252&gt;40,S252&lt;1),"NAFLD",
IF(AND(T252="Yes",S252&lt;1,G252&gt;=25,N252&gt;O252),"NAFLD",
IF(OR(P252&gt;1.2,Q252&gt;0.3),"Hyperbilirubinemia",
"Others"))))))))</f>
        <v>Normal</v>
      </c>
      <c r="AJ252" s="5">
        <v>17</v>
      </c>
      <c r="AK252" s="5" t="s">
        <v>34</v>
      </c>
    </row>
    <row r="253" spans="1:37" ht="28.8" x14ac:dyDescent="0.3">
      <c r="A253" s="5">
        <v>262</v>
      </c>
      <c r="B253" s="5" t="s">
        <v>39</v>
      </c>
      <c r="C253" s="5">
        <v>30</v>
      </c>
      <c r="D253" s="2">
        <v>6</v>
      </c>
      <c r="E253" s="5">
        <v>170</v>
      </c>
      <c r="F253" s="5">
        <v>65</v>
      </c>
      <c r="G253" s="6">
        <v>22.491349480968861</v>
      </c>
      <c r="H253" s="9" t="s">
        <v>33</v>
      </c>
      <c r="I253" s="2">
        <v>32</v>
      </c>
      <c r="J253" s="5" t="s">
        <v>44</v>
      </c>
      <c r="K253" s="5" t="s">
        <v>44</v>
      </c>
      <c r="L253" s="5" t="s">
        <v>44</v>
      </c>
      <c r="M253" s="5" t="s">
        <v>44</v>
      </c>
      <c r="N253" s="5">
        <v>40.159999999999997</v>
      </c>
      <c r="O253" s="5">
        <v>40.85</v>
      </c>
      <c r="P253" s="5">
        <v>0.63</v>
      </c>
      <c r="Q253" s="5">
        <v>0.1</v>
      </c>
      <c r="R253" s="5">
        <v>0.53</v>
      </c>
      <c r="S253" s="8">
        <v>1.0171812749003986</v>
      </c>
      <c r="T253" s="5" t="s">
        <v>44</v>
      </c>
      <c r="U253" s="5"/>
      <c r="V253" s="5"/>
      <c r="W253" s="5"/>
      <c r="X253" s="5"/>
      <c r="Y253" s="5" t="s">
        <v>44</v>
      </c>
      <c r="Z253" s="5"/>
      <c r="AA253" s="5"/>
      <c r="AB253" s="9" t="s">
        <v>44</v>
      </c>
      <c r="AC253" s="2" t="s">
        <v>47</v>
      </c>
      <c r="AD253" s="2">
        <v>0</v>
      </c>
      <c r="AE253" s="2" t="s">
        <v>52</v>
      </c>
      <c r="AF253" s="2" t="str">
        <f t="shared" si="3"/>
        <v>Abnormal</v>
      </c>
      <c r="AG253" s="5">
        <v>1</v>
      </c>
      <c r="AH253" s="5" t="str">
        <f>IF(AG253=0,"Normal",
IF(AND(T253="Yes",S253&gt;=2),"ALD",
IF(AND(T253="Yes",S253&gt;=2,O253&gt;N253),"ALD",
IF(AND(T253="No",S253&gt;=2),"ALD",
IF(AND(G253&gt;=25,OR(T253="No",AND(T253="Yes",S253&lt;1))),"NAFLD",
IF(AND(N253&gt;O253,N253&gt;40,S253&lt;1),"NAFLD",
IF(AND(T253="Yes",S253&lt;1,G253&gt;=25,N253&gt;O253),"NAFLD",
IF(OR(P253&gt;1.2,Q253&gt;0.3),"Hyperbilirubinemia",
"Others"))))))))</f>
        <v>Others</v>
      </c>
      <c r="AI253" s="5" t="str">
        <f>IF(AG253=0,"Normal",
IF(AND(T253="Yes",S253&gt;=2),"ALD (Confirmed)",
IF(AND(T253="Yes",S253&gt;=2,O253&gt;N253),"ALD (Confirmed)",
IF(AND(T253="No",S253&gt;=2),"ALD (Probable)",
IF(AND(G253&gt;=25,OR(T253="No",AND(T253="Yes",S253&lt;1))),"NAFLD",
IF(AND(N253&gt;O253,N253&gt;40,S253&lt;1),"NAFLD",
IF(AND(T253="Yes",S253&lt;1,G253&gt;=25,N253&gt;O253),"NAFLD",
IF(OR(P253&gt;1.2,Q253&gt;0.3),"Hyperbilirubinemia",
"Others"))))))))</f>
        <v>Others</v>
      </c>
      <c r="AJ253" s="5">
        <v>10</v>
      </c>
      <c r="AK253" s="5" t="s">
        <v>34</v>
      </c>
    </row>
    <row r="254" spans="1:37" ht="43.2" x14ac:dyDescent="0.3">
      <c r="A254" s="5">
        <v>263</v>
      </c>
      <c r="B254" s="5" t="s">
        <v>39</v>
      </c>
      <c r="C254" s="5">
        <v>26</v>
      </c>
      <c r="D254" s="2">
        <v>5</v>
      </c>
      <c r="E254" s="5">
        <v>167</v>
      </c>
      <c r="F254" s="5">
        <v>65</v>
      </c>
      <c r="G254" s="6">
        <v>23.306680053067517</v>
      </c>
      <c r="H254" s="9" t="s">
        <v>33</v>
      </c>
      <c r="I254" s="2">
        <v>32</v>
      </c>
      <c r="J254" s="5" t="s">
        <v>44</v>
      </c>
      <c r="K254" s="5" t="s">
        <v>44</v>
      </c>
      <c r="L254" s="5" t="s">
        <v>44</v>
      </c>
      <c r="M254" s="5" t="s">
        <v>44</v>
      </c>
      <c r="N254" s="5">
        <v>35.6</v>
      </c>
      <c r="O254" s="5">
        <v>37.200000000000003</v>
      </c>
      <c r="P254" s="5">
        <v>1.25</v>
      </c>
      <c r="Q254" s="5">
        <v>0.23</v>
      </c>
      <c r="R254" s="5">
        <v>1.02</v>
      </c>
      <c r="S254" s="8">
        <v>1.0449438202247192</v>
      </c>
      <c r="T254" s="5" t="s">
        <v>45</v>
      </c>
      <c r="U254" s="5" t="s">
        <v>57</v>
      </c>
      <c r="V254" s="5" t="s">
        <v>61</v>
      </c>
      <c r="W254" s="5" t="s">
        <v>65</v>
      </c>
      <c r="X254" s="5" t="s">
        <v>67</v>
      </c>
      <c r="Y254" s="5" t="s">
        <v>44</v>
      </c>
      <c r="Z254" s="5"/>
      <c r="AA254" s="5"/>
      <c r="AB254" s="9" t="s">
        <v>44</v>
      </c>
      <c r="AC254" s="2" t="s">
        <v>46</v>
      </c>
      <c r="AD254" s="2">
        <v>0</v>
      </c>
      <c r="AE254" s="2" t="s">
        <v>49</v>
      </c>
      <c r="AF254" s="2" t="str">
        <f t="shared" si="3"/>
        <v>Normal</v>
      </c>
      <c r="AG254" s="5">
        <v>0</v>
      </c>
      <c r="AH254" s="5" t="str">
        <f>IF(AG254=0,"Normal",
IF(AND(T254="Yes",S254&gt;=2),"ALD",
IF(AND(T254="Yes",S254&gt;=2,O254&gt;N254),"ALD",
IF(AND(T254="No",S254&gt;=2),"ALD",
IF(AND(G254&gt;=25,OR(T254="No",AND(T254="Yes",S254&lt;1))),"NAFLD",
IF(AND(N254&gt;O254,N254&gt;40,S254&lt;1),"NAFLD",
IF(AND(T254="Yes",S254&lt;1,G254&gt;=25,N254&gt;O254),"NAFLD",
IF(OR(P254&gt;1.2,Q254&gt;0.3),"Hyperbilirubinemia",
"Others"))))))))</f>
        <v>Normal</v>
      </c>
      <c r="AI254" s="5" t="str">
        <f>IF(AG254=0,"Normal",
IF(AND(T254="Yes",S254&gt;=2),"ALD (Confirmed)",
IF(AND(T254="Yes",S254&gt;=2,O254&gt;N254),"ALD (Confirmed)",
IF(AND(T254="No",S254&gt;=2),"ALD (Probable)",
IF(AND(G254&gt;=25,OR(T254="No",AND(T254="Yes",S254&lt;1))),"NAFLD",
IF(AND(N254&gt;O254,N254&gt;40,S254&lt;1),"NAFLD",
IF(AND(T254="Yes",S254&lt;1,G254&gt;=25,N254&gt;O254),"NAFLD",
IF(OR(P254&gt;1.2,Q254&gt;0.3),"Hyperbilirubinemia",
"Others"))))))))</f>
        <v>Normal</v>
      </c>
      <c r="AJ254" s="5">
        <v>16</v>
      </c>
      <c r="AK254" s="5" t="s">
        <v>34</v>
      </c>
    </row>
    <row r="255" spans="1:37" ht="28.8" x14ac:dyDescent="0.3">
      <c r="A255" s="5">
        <v>264</v>
      </c>
      <c r="B255" s="5" t="s">
        <v>39</v>
      </c>
      <c r="C255" s="5">
        <v>25</v>
      </c>
      <c r="D255" s="2">
        <v>2</v>
      </c>
      <c r="E255" s="5">
        <v>188</v>
      </c>
      <c r="F255" s="5">
        <v>64</v>
      </c>
      <c r="G255" s="6">
        <v>18.107741059302853</v>
      </c>
      <c r="H255" s="9" t="s">
        <v>43</v>
      </c>
      <c r="I255" s="2">
        <v>30</v>
      </c>
      <c r="J255" s="5" t="s">
        <v>44</v>
      </c>
      <c r="K255" s="5" t="s">
        <v>44</v>
      </c>
      <c r="L255" s="5" t="s">
        <v>44</v>
      </c>
      <c r="M255" s="5" t="s">
        <v>44</v>
      </c>
      <c r="N255" s="5">
        <v>15.63</v>
      </c>
      <c r="O255" s="5">
        <v>29.08</v>
      </c>
      <c r="P255" s="5">
        <v>1.7</v>
      </c>
      <c r="Q255" s="5">
        <v>0.25</v>
      </c>
      <c r="R255" s="5">
        <v>1.45</v>
      </c>
      <c r="S255" s="8">
        <v>1.8605246321177222</v>
      </c>
      <c r="T255" s="5" t="s">
        <v>44</v>
      </c>
      <c r="U255" s="5"/>
      <c r="V255" s="5"/>
      <c r="W255" s="5"/>
      <c r="X255" s="5"/>
      <c r="Y255" s="5" t="s">
        <v>44</v>
      </c>
      <c r="Z255" s="5"/>
      <c r="AA255" s="5"/>
      <c r="AB255" s="9" t="s">
        <v>44</v>
      </c>
      <c r="AC255" s="2" t="s">
        <v>47</v>
      </c>
      <c r="AD255" s="2">
        <v>0</v>
      </c>
      <c r="AE255" s="2" t="s">
        <v>52</v>
      </c>
      <c r="AF255" s="2" t="str">
        <f t="shared" si="3"/>
        <v>Abnormal</v>
      </c>
      <c r="AG255" s="5">
        <v>1</v>
      </c>
      <c r="AH255" s="5" t="str">
        <f>IF(AG255=0,"Normal",
IF(AND(T255="Yes",S255&gt;=2),"ALD",
IF(AND(T255="Yes",S255&gt;=2,O255&gt;N255),"ALD",
IF(AND(T255="No",S255&gt;=2),"ALD",
IF(AND(G255&gt;=25,OR(T255="No",AND(T255="Yes",S255&lt;1))),"NAFLD",
IF(AND(N255&gt;O255,N255&gt;40,S255&lt;1),"NAFLD",
IF(AND(T255="Yes",S255&lt;1,G255&gt;=25,N255&gt;O255),"NAFLD",
IF(OR(P255&gt;1.2,Q255&gt;0.3),"Hyperbilirubinemia",
"Others"))))))))</f>
        <v>Hyperbilirubinemia</v>
      </c>
      <c r="AI255" s="5" t="str">
        <f>IF(AG255=0,"Normal",
IF(AND(T255="Yes",S255&gt;=2),"ALD (Confirmed)",
IF(AND(T255="Yes",S255&gt;=2,O255&gt;N255),"ALD (Confirmed)",
IF(AND(T255="No",S255&gt;=2),"ALD (Probable)",
IF(AND(G255&gt;=25,OR(T255="No",AND(T255="Yes",S255&lt;1))),"NAFLD",
IF(AND(N255&gt;O255,N255&gt;40,S255&lt;1),"NAFLD",
IF(AND(T255="Yes",S255&lt;1,G255&gt;=25,N255&gt;O255),"NAFLD",
IF(OR(P255&gt;1.2,Q255&gt;0.3),"Hyperbilirubinemia",
"Others"))))))))</f>
        <v>Hyperbilirubinemia</v>
      </c>
      <c r="AJ255" s="5">
        <v>6</v>
      </c>
      <c r="AK255" s="5" t="s">
        <v>34</v>
      </c>
    </row>
    <row r="256" spans="1:37" ht="43.2" x14ac:dyDescent="0.3">
      <c r="A256" s="5">
        <v>265</v>
      </c>
      <c r="B256" s="5" t="s">
        <v>39</v>
      </c>
      <c r="C256" s="5">
        <v>29</v>
      </c>
      <c r="D256" s="2">
        <v>6</v>
      </c>
      <c r="E256" s="5">
        <v>162</v>
      </c>
      <c r="F256" s="5">
        <v>64</v>
      </c>
      <c r="G256" s="6">
        <v>24.386526444139612</v>
      </c>
      <c r="H256" s="9" t="s">
        <v>33</v>
      </c>
      <c r="I256" s="2">
        <v>32</v>
      </c>
      <c r="J256" s="5" t="s">
        <v>44</v>
      </c>
      <c r="K256" s="5" t="s">
        <v>44</v>
      </c>
      <c r="L256" s="5" t="s">
        <v>44</v>
      </c>
      <c r="M256" s="5" t="s">
        <v>44</v>
      </c>
      <c r="N256" s="5">
        <v>18.649999999999999</v>
      </c>
      <c r="O256" s="5">
        <v>25.74</v>
      </c>
      <c r="P256" s="5">
        <v>0.35</v>
      </c>
      <c r="Q256" s="5">
        <v>0.08</v>
      </c>
      <c r="R256" s="5">
        <v>0.27</v>
      </c>
      <c r="S256" s="8">
        <v>1.3801608579088471</v>
      </c>
      <c r="T256" s="5" t="s">
        <v>44</v>
      </c>
      <c r="U256" s="5"/>
      <c r="V256" s="5"/>
      <c r="W256" s="5"/>
      <c r="X256" s="5"/>
      <c r="Y256" s="5" t="s">
        <v>44</v>
      </c>
      <c r="Z256" s="5"/>
      <c r="AA256" s="5"/>
      <c r="AB256" s="9" t="s">
        <v>44</v>
      </c>
      <c r="AC256" s="2" t="s">
        <v>46</v>
      </c>
      <c r="AD256" s="2">
        <v>0</v>
      </c>
      <c r="AE256" s="2" t="s">
        <v>49</v>
      </c>
      <c r="AF256" s="2" t="str">
        <f t="shared" si="3"/>
        <v>Normal</v>
      </c>
      <c r="AG256" s="5">
        <v>0</v>
      </c>
      <c r="AH256" s="5" t="str">
        <f>IF(AG256=0,"Normal",
IF(AND(T256="Yes",S256&gt;=2),"ALD",
IF(AND(T256="Yes",S256&gt;=2,O256&gt;N256),"ALD",
IF(AND(T256="No",S256&gt;=2),"ALD",
IF(AND(G256&gt;=25,OR(T256="No",AND(T256="Yes",S256&lt;1))),"NAFLD",
IF(AND(N256&gt;O256,N256&gt;40,S256&lt;1),"NAFLD",
IF(AND(T256="Yes",S256&lt;1,G256&gt;=25,N256&gt;O256),"NAFLD",
IF(OR(P256&gt;1.2,Q256&gt;0.3),"Hyperbilirubinemia",
"Others"))))))))</f>
        <v>Normal</v>
      </c>
      <c r="AI256" s="5" t="str">
        <f>IF(AG256=0,"Normal",
IF(AND(T256="Yes",S256&gt;=2),"ALD (Confirmed)",
IF(AND(T256="Yes",S256&gt;=2,O256&gt;N256),"ALD (Confirmed)",
IF(AND(T256="No",S256&gt;=2),"ALD (Probable)",
IF(AND(G256&gt;=25,OR(T256="No",AND(T256="Yes",S256&lt;1))),"NAFLD",
IF(AND(N256&gt;O256,N256&gt;40,S256&lt;1),"NAFLD",
IF(AND(T256="Yes",S256&lt;1,G256&gt;=25,N256&gt;O256),"NAFLD",
IF(OR(P256&gt;1.2,Q256&gt;0.3),"Hyperbilirubinemia",
"Others"))))))))</f>
        <v>Normal</v>
      </c>
      <c r="AJ256" s="5">
        <v>6</v>
      </c>
      <c r="AK256" s="5" t="s">
        <v>34</v>
      </c>
    </row>
    <row r="257" spans="1:37" ht="43.2" x14ac:dyDescent="0.3">
      <c r="A257" s="5">
        <v>266</v>
      </c>
      <c r="B257" s="5" t="s">
        <v>39</v>
      </c>
      <c r="C257" s="5">
        <v>27</v>
      </c>
      <c r="D257" s="2">
        <v>3</v>
      </c>
      <c r="E257" s="5">
        <v>165</v>
      </c>
      <c r="F257" s="5">
        <v>59</v>
      </c>
      <c r="G257" s="6">
        <v>21.671258034894397</v>
      </c>
      <c r="H257" s="9" t="s">
        <v>33</v>
      </c>
      <c r="I257" s="2">
        <v>32</v>
      </c>
      <c r="J257" s="5" t="s">
        <v>44</v>
      </c>
      <c r="K257" s="5" t="s">
        <v>44</v>
      </c>
      <c r="L257" s="5" t="s">
        <v>44</v>
      </c>
      <c r="M257" s="5" t="s">
        <v>44</v>
      </c>
      <c r="N257" s="5">
        <v>32</v>
      </c>
      <c r="O257" s="5">
        <v>32.1</v>
      </c>
      <c r="P257" s="5">
        <v>0.36</v>
      </c>
      <c r="Q257" s="5">
        <v>0.1</v>
      </c>
      <c r="R257" s="5">
        <v>0.26</v>
      </c>
      <c r="S257" s="8">
        <v>1.003125</v>
      </c>
      <c r="T257" s="5" t="s">
        <v>44</v>
      </c>
      <c r="U257" s="5"/>
      <c r="V257" s="5"/>
      <c r="W257" s="5"/>
      <c r="X257" s="5"/>
      <c r="Y257" s="5" t="s">
        <v>44</v>
      </c>
      <c r="Z257" s="5"/>
      <c r="AA257" s="5"/>
      <c r="AB257" s="9" t="s">
        <v>44</v>
      </c>
      <c r="AC257" s="2" t="s">
        <v>46</v>
      </c>
      <c r="AD257" s="2">
        <v>0</v>
      </c>
      <c r="AE257" s="2" t="s">
        <v>49</v>
      </c>
      <c r="AF257" s="2" t="str">
        <f t="shared" si="3"/>
        <v>Normal</v>
      </c>
      <c r="AG257" s="5">
        <v>0</v>
      </c>
      <c r="AH257" s="5" t="str">
        <f>IF(AG257=0,"Normal",
IF(AND(T257="Yes",S257&gt;=2),"ALD",
IF(AND(T257="Yes",S257&gt;=2,O257&gt;N257),"ALD",
IF(AND(T257="No",S257&gt;=2),"ALD",
IF(AND(G257&gt;=25,OR(T257="No",AND(T257="Yes",S257&lt;1))),"NAFLD",
IF(AND(N257&gt;O257,N257&gt;40,S257&lt;1),"NAFLD",
IF(AND(T257="Yes",S257&lt;1,G257&gt;=25,N257&gt;O257),"NAFLD",
IF(OR(P257&gt;1.2,Q257&gt;0.3),"Hyperbilirubinemia",
"Others"))))))))</f>
        <v>Normal</v>
      </c>
      <c r="AI257" s="5" t="str">
        <f>IF(AG257=0,"Normal",
IF(AND(T257="Yes",S257&gt;=2),"ALD (Confirmed)",
IF(AND(T257="Yes",S257&gt;=2,O257&gt;N257),"ALD (Confirmed)",
IF(AND(T257="No",S257&gt;=2),"ALD (Probable)",
IF(AND(G257&gt;=25,OR(T257="No",AND(T257="Yes",S257&lt;1))),"NAFLD",
IF(AND(N257&gt;O257,N257&gt;40,S257&lt;1),"NAFLD",
IF(AND(T257="Yes",S257&lt;1,G257&gt;=25,N257&gt;O257),"NAFLD",
IF(OR(P257&gt;1.2,Q257&gt;0.3),"Hyperbilirubinemia",
"Others"))))))))</f>
        <v>Normal</v>
      </c>
      <c r="AJ257" s="5">
        <v>6</v>
      </c>
      <c r="AK257" s="5" t="s">
        <v>34</v>
      </c>
    </row>
    <row r="258" spans="1:37" ht="43.2" x14ac:dyDescent="0.3">
      <c r="A258" s="5">
        <v>267</v>
      </c>
      <c r="B258" s="5" t="s">
        <v>39</v>
      </c>
      <c r="C258" s="5">
        <v>38</v>
      </c>
      <c r="D258" s="2">
        <v>10</v>
      </c>
      <c r="E258" s="5">
        <v>158</v>
      </c>
      <c r="F258" s="5">
        <v>52</v>
      </c>
      <c r="G258" s="6">
        <v>20.829995193078034</v>
      </c>
      <c r="H258" s="9" t="s">
        <v>33</v>
      </c>
      <c r="I258" s="2">
        <v>28</v>
      </c>
      <c r="J258" s="5" t="s">
        <v>44</v>
      </c>
      <c r="K258" s="5" t="s">
        <v>44</v>
      </c>
      <c r="L258" s="5" t="s">
        <v>44</v>
      </c>
      <c r="M258" s="5" t="s">
        <v>44</v>
      </c>
      <c r="N258" s="5">
        <v>21.5</v>
      </c>
      <c r="O258" s="5">
        <v>35.200000000000003</v>
      </c>
      <c r="P258" s="5">
        <v>1.18</v>
      </c>
      <c r="Q258" s="5">
        <v>0.28999999999999998</v>
      </c>
      <c r="R258" s="5">
        <v>0.89</v>
      </c>
      <c r="S258" s="8">
        <v>1.6372093023255816</v>
      </c>
      <c r="T258" s="5" t="s">
        <v>44</v>
      </c>
      <c r="U258" s="5"/>
      <c r="V258" s="5"/>
      <c r="W258" s="5"/>
      <c r="X258" s="5"/>
      <c r="Y258" s="5" t="s">
        <v>44</v>
      </c>
      <c r="Z258" s="5"/>
      <c r="AA258" s="5"/>
      <c r="AB258" s="9" t="s">
        <v>44</v>
      </c>
      <c r="AC258" s="2" t="s">
        <v>46</v>
      </c>
      <c r="AD258" s="2">
        <v>0</v>
      </c>
      <c r="AE258" s="2" t="s">
        <v>52</v>
      </c>
      <c r="AF258" s="2" t="str">
        <f t="shared" si="3"/>
        <v>Normal</v>
      </c>
      <c r="AG258" s="5">
        <v>0</v>
      </c>
      <c r="AH258" s="5" t="str">
        <f>IF(AG258=0,"Normal",
IF(AND(T258="Yes",S258&gt;=2),"ALD",
IF(AND(T258="Yes",S258&gt;=2,O258&gt;N258),"ALD",
IF(AND(T258="No",S258&gt;=2),"ALD",
IF(AND(G258&gt;=25,OR(T258="No",AND(T258="Yes",S258&lt;1))),"NAFLD",
IF(AND(N258&gt;O258,N258&gt;40,S258&lt;1),"NAFLD",
IF(AND(T258="Yes",S258&lt;1,G258&gt;=25,N258&gt;O258),"NAFLD",
IF(OR(P258&gt;1.2,Q258&gt;0.3),"Hyperbilirubinemia",
"Others"))))))))</f>
        <v>Normal</v>
      </c>
      <c r="AI258" s="5" t="str">
        <f>IF(AG258=0,"Normal",
IF(AND(T258="Yes",S258&gt;=2),"ALD (Confirmed)",
IF(AND(T258="Yes",S258&gt;=2,O258&gt;N258),"ALD (Confirmed)",
IF(AND(T258="No",S258&gt;=2),"ALD (Probable)",
IF(AND(G258&gt;=25,OR(T258="No",AND(T258="Yes",S258&lt;1))),"NAFLD",
IF(AND(N258&gt;O258,N258&gt;40,S258&lt;1),"NAFLD",
IF(AND(T258="Yes",S258&lt;1,G258&gt;=25,N258&gt;O258),"NAFLD",
IF(OR(P258&gt;1.2,Q258&gt;0.3),"Hyperbilirubinemia",
"Others"))))))))</f>
        <v>Normal</v>
      </c>
      <c r="AJ258" s="5">
        <v>8</v>
      </c>
      <c r="AK258" s="5" t="s">
        <v>34</v>
      </c>
    </row>
    <row r="259" spans="1:37" ht="43.2" x14ac:dyDescent="0.3">
      <c r="A259" s="5">
        <v>268</v>
      </c>
      <c r="B259" s="5" t="s">
        <v>39</v>
      </c>
      <c r="C259" s="5">
        <v>33</v>
      </c>
      <c r="D259" s="2">
        <v>10</v>
      </c>
      <c r="E259" s="5">
        <v>168</v>
      </c>
      <c r="F259" s="5">
        <v>60</v>
      </c>
      <c r="G259" s="6">
        <v>21.258503401360546</v>
      </c>
      <c r="H259" s="9" t="s">
        <v>33</v>
      </c>
      <c r="I259" s="2">
        <v>28</v>
      </c>
      <c r="J259" s="5" t="s">
        <v>44</v>
      </c>
      <c r="K259" s="5" t="s">
        <v>44</v>
      </c>
      <c r="L259" s="5" t="s">
        <v>44</v>
      </c>
      <c r="M259" s="5" t="s">
        <v>44</v>
      </c>
      <c r="N259" s="5">
        <v>42.16</v>
      </c>
      <c r="O259" s="5">
        <v>63.67</v>
      </c>
      <c r="P259" s="5">
        <v>0.37</v>
      </c>
      <c r="Q259" s="5">
        <v>0.09</v>
      </c>
      <c r="R259" s="5">
        <v>0.28000000000000003</v>
      </c>
      <c r="S259" s="8">
        <v>1.5101992409867175</v>
      </c>
      <c r="T259" s="5" t="s">
        <v>44</v>
      </c>
      <c r="U259" s="5"/>
      <c r="V259" s="5"/>
      <c r="W259" s="5"/>
      <c r="X259" s="5"/>
      <c r="Y259" s="5" t="s">
        <v>44</v>
      </c>
      <c r="Z259" s="5"/>
      <c r="AA259" s="5"/>
      <c r="AB259" s="9" t="s">
        <v>44</v>
      </c>
      <c r="AC259" s="2" t="s">
        <v>46</v>
      </c>
      <c r="AD259" s="2">
        <v>0</v>
      </c>
      <c r="AE259" s="2" t="s">
        <v>52</v>
      </c>
      <c r="AF259" s="2" t="str">
        <f t="shared" ref="AF259:AF286" si="4">IF(AG259=0,"Normal",IF(AG259=1,"Abnormal",""))</f>
        <v>Abnormal</v>
      </c>
      <c r="AG259" s="5">
        <v>1</v>
      </c>
      <c r="AH259" s="5" t="str">
        <f>IF(AG259=0,"Normal",
IF(AND(T259="Yes",S259&gt;=2),"ALD",
IF(AND(T259="Yes",S259&gt;=2,O259&gt;N259),"ALD",
IF(AND(T259="No",S259&gt;=2),"ALD",
IF(AND(G259&gt;=25,OR(T259="No",AND(T259="Yes",S259&lt;1))),"NAFLD",
IF(AND(N259&gt;O259,N259&gt;40,S259&lt;1),"NAFLD",
IF(AND(T259="Yes",S259&lt;1,G259&gt;=25,N259&gt;O259),"NAFLD",
IF(OR(P259&gt;1.2,Q259&gt;0.3),"Hyperbilirubinemia",
"Others"))))))))</f>
        <v>Others</v>
      </c>
      <c r="AI259" s="5" t="str">
        <f>IF(AG259=0,"Normal",
IF(AND(T259="Yes",S259&gt;=2),"ALD (Confirmed)",
IF(AND(T259="Yes",S259&gt;=2,O259&gt;N259),"ALD (Confirmed)",
IF(AND(T259="No",S259&gt;=2),"ALD (Probable)",
IF(AND(G259&gt;=25,OR(T259="No",AND(T259="Yes",S259&lt;1))),"NAFLD",
IF(AND(N259&gt;O259,N259&gt;40,S259&lt;1),"NAFLD",
IF(AND(T259="Yes",S259&lt;1,G259&gt;=25,N259&gt;O259),"NAFLD",
IF(OR(P259&gt;1.2,Q259&gt;0.3),"Hyperbilirubinemia",
"Others"))))))))</f>
        <v>Others</v>
      </c>
      <c r="AJ259" s="5">
        <v>15</v>
      </c>
      <c r="AK259" s="5" t="s">
        <v>34</v>
      </c>
    </row>
    <row r="260" spans="1:37" ht="86.4" x14ac:dyDescent="0.3">
      <c r="A260" s="5">
        <v>269</v>
      </c>
      <c r="B260" s="5" t="s">
        <v>39</v>
      </c>
      <c r="C260" s="5">
        <v>35</v>
      </c>
      <c r="D260" s="2">
        <v>10</v>
      </c>
      <c r="E260" s="5">
        <v>165</v>
      </c>
      <c r="F260" s="5">
        <v>68</v>
      </c>
      <c r="G260" s="6">
        <v>24.977043158861338</v>
      </c>
      <c r="H260" s="9" t="s">
        <v>42</v>
      </c>
      <c r="I260" s="2">
        <v>34</v>
      </c>
      <c r="J260" s="5" t="s">
        <v>44</v>
      </c>
      <c r="K260" s="5" t="s">
        <v>44</v>
      </c>
      <c r="L260" s="5" t="s">
        <v>44</v>
      </c>
      <c r="M260" s="5" t="s">
        <v>44</v>
      </c>
      <c r="N260" s="5">
        <v>25.2</v>
      </c>
      <c r="O260" s="5">
        <v>32.090000000000003</v>
      </c>
      <c r="P260" s="5">
        <v>0.42</v>
      </c>
      <c r="Q260" s="5">
        <v>0.13</v>
      </c>
      <c r="R260" s="5">
        <v>0.28999999999999998</v>
      </c>
      <c r="S260" s="8">
        <v>1.2734126984126986</v>
      </c>
      <c r="T260" s="5" t="s">
        <v>45</v>
      </c>
      <c r="U260" s="5" t="s">
        <v>56</v>
      </c>
      <c r="V260" s="5" t="s">
        <v>61</v>
      </c>
      <c r="W260" s="5" t="s">
        <v>65</v>
      </c>
      <c r="X260" s="5" t="s">
        <v>69</v>
      </c>
      <c r="Y260" s="5" t="s">
        <v>44</v>
      </c>
      <c r="Z260" s="5"/>
      <c r="AA260" s="5"/>
      <c r="AB260" s="9" t="s">
        <v>44</v>
      </c>
      <c r="AC260" s="2" t="s">
        <v>46</v>
      </c>
      <c r="AD260" s="2">
        <v>0</v>
      </c>
      <c r="AE260" s="2" t="s">
        <v>49</v>
      </c>
      <c r="AF260" s="2" t="str">
        <f t="shared" si="4"/>
        <v>Normal</v>
      </c>
      <c r="AG260" s="5">
        <v>0</v>
      </c>
      <c r="AH260" s="5" t="str">
        <f>IF(AG260=0,"Normal",
IF(AND(T260="Yes",S260&gt;=2),"ALD",
IF(AND(T260="Yes",S260&gt;=2,O260&gt;N260),"ALD",
IF(AND(T260="No",S260&gt;=2),"ALD",
IF(AND(G260&gt;=25,OR(T260="No",AND(T260="Yes",S260&lt;1))),"NAFLD",
IF(AND(N260&gt;O260,N260&gt;40,S260&lt;1),"NAFLD",
IF(AND(T260="Yes",S260&lt;1,G260&gt;=25,N260&gt;O260),"NAFLD",
IF(OR(P260&gt;1.2,Q260&gt;0.3),"Hyperbilirubinemia",
"Others"))))))))</f>
        <v>Normal</v>
      </c>
      <c r="AI260" s="5" t="str">
        <f>IF(AG260=0,"Normal",
IF(AND(T260="Yes",S260&gt;=2),"ALD (Confirmed)",
IF(AND(T260="Yes",S260&gt;=2,O260&gt;N260),"ALD (Confirmed)",
IF(AND(T260="No",S260&gt;=2),"ALD (Probable)",
IF(AND(G260&gt;=25,OR(T260="No",AND(T260="Yes",S260&lt;1))),"NAFLD",
IF(AND(N260&gt;O260,N260&gt;40,S260&lt;1),"NAFLD",
IF(AND(T260="Yes",S260&lt;1,G260&gt;=25,N260&gt;O260),"NAFLD",
IF(OR(P260&gt;1.2,Q260&gt;0.3),"Hyperbilirubinemia",
"Others"))))))))</f>
        <v>Normal</v>
      </c>
      <c r="AJ260" s="5">
        <v>16</v>
      </c>
      <c r="AK260" s="5" t="s">
        <v>34</v>
      </c>
    </row>
    <row r="261" spans="1:37" ht="43.2" x14ac:dyDescent="0.3">
      <c r="A261" s="5">
        <v>270</v>
      </c>
      <c r="B261" s="5" t="s">
        <v>39</v>
      </c>
      <c r="C261" s="5">
        <v>49</v>
      </c>
      <c r="D261" s="2">
        <v>25</v>
      </c>
      <c r="E261" s="5">
        <v>168</v>
      </c>
      <c r="F261" s="5">
        <v>70</v>
      </c>
      <c r="G261" s="6">
        <v>24.801587301587301</v>
      </c>
      <c r="H261" s="9" t="s">
        <v>33</v>
      </c>
      <c r="I261" s="2">
        <v>34</v>
      </c>
      <c r="J261" s="5" t="s">
        <v>44</v>
      </c>
      <c r="K261" s="5" t="s">
        <v>44</v>
      </c>
      <c r="L261" s="5" t="s">
        <v>44</v>
      </c>
      <c r="M261" s="5" t="s">
        <v>44</v>
      </c>
      <c r="N261" s="5">
        <v>27.17</v>
      </c>
      <c r="O261" s="5">
        <v>30.84</v>
      </c>
      <c r="P261" s="5">
        <v>0.55000000000000004</v>
      </c>
      <c r="Q261" s="5">
        <v>0.1</v>
      </c>
      <c r="R261" s="5">
        <v>0.45</v>
      </c>
      <c r="S261" s="8">
        <v>1.1350754508649246</v>
      </c>
      <c r="T261" s="5" t="s">
        <v>45</v>
      </c>
      <c r="U261" s="5" t="s">
        <v>57</v>
      </c>
      <c r="V261" s="5" t="s">
        <v>60</v>
      </c>
      <c r="W261" s="5" t="s">
        <v>65</v>
      </c>
      <c r="X261" s="5" t="s">
        <v>68</v>
      </c>
      <c r="Y261" s="5" t="s">
        <v>45</v>
      </c>
      <c r="Z261" s="5" t="s">
        <v>74</v>
      </c>
      <c r="AA261" s="5" t="s">
        <v>79</v>
      </c>
      <c r="AB261" s="9" t="s">
        <v>44</v>
      </c>
      <c r="AC261" s="2" t="s">
        <v>46</v>
      </c>
      <c r="AD261" s="2">
        <v>0</v>
      </c>
      <c r="AE261" s="2" t="s">
        <v>52</v>
      </c>
      <c r="AF261" s="2" t="str">
        <f t="shared" si="4"/>
        <v>Normal</v>
      </c>
      <c r="AG261" s="5">
        <v>0</v>
      </c>
      <c r="AH261" s="5" t="str">
        <f>IF(AG261=0,"Normal",
IF(AND(T261="Yes",S261&gt;=2),"ALD",
IF(AND(T261="Yes",S261&gt;=2,O261&gt;N261),"ALD",
IF(AND(T261="No",S261&gt;=2),"ALD",
IF(AND(G261&gt;=25,OR(T261="No",AND(T261="Yes",S261&lt;1))),"NAFLD",
IF(AND(N261&gt;O261,N261&gt;40,S261&lt;1),"NAFLD",
IF(AND(T261="Yes",S261&lt;1,G261&gt;=25,N261&gt;O261),"NAFLD",
IF(OR(P261&gt;1.2,Q261&gt;0.3),"Hyperbilirubinemia",
"Others"))))))))</f>
        <v>Normal</v>
      </c>
      <c r="AI261" s="5" t="str">
        <f>IF(AG261=0,"Normal",
IF(AND(T261="Yes",S261&gt;=2),"ALD (Confirmed)",
IF(AND(T261="Yes",S261&gt;=2,O261&gt;N261),"ALD (Confirmed)",
IF(AND(T261="No",S261&gt;=2),"ALD (Probable)",
IF(AND(G261&gt;=25,OR(T261="No",AND(T261="Yes",S261&lt;1))),"NAFLD",
IF(AND(N261&gt;O261,N261&gt;40,S261&lt;1),"NAFLD",
IF(AND(T261="Yes",S261&lt;1,G261&gt;=25,N261&gt;O261),"NAFLD",
IF(OR(P261&gt;1.2,Q261&gt;0.3),"Hyperbilirubinemia",
"Others"))))))))</f>
        <v>Normal</v>
      </c>
      <c r="AJ261" s="5">
        <v>23</v>
      </c>
      <c r="AK261" s="5" t="s">
        <v>35</v>
      </c>
    </row>
    <row r="262" spans="1:37" ht="43.2" x14ac:dyDescent="0.3">
      <c r="A262" s="5">
        <v>271</v>
      </c>
      <c r="B262" s="5" t="s">
        <v>40</v>
      </c>
      <c r="C262" s="5">
        <v>29</v>
      </c>
      <c r="D262" s="2">
        <v>1</v>
      </c>
      <c r="E262" s="5">
        <v>163</v>
      </c>
      <c r="F262" s="5">
        <v>55</v>
      </c>
      <c r="G262" s="6">
        <v>20.700816741315069</v>
      </c>
      <c r="H262" s="9" t="s">
        <v>33</v>
      </c>
      <c r="I262" s="2">
        <v>28</v>
      </c>
      <c r="J262" s="5" t="s">
        <v>44</v>
      </c>
      <c r="K262" s="5" t="s">
        <v>44</v>
      </c>
      <c r="L262" s="5" t="s">
        <v>44</v>
      </c>
      <c r="M262" s="5" t="s">
        <v>44</v>
      </c>
      <c r="N262" s="5">
        <v>11.04</v>
      </c>
      <c r="O262" s="5">
        <v>19.28</v>
      </c>
      <c r="P262" s="5">
        <v>0.25</v>
      </c>
      <c r="Q262" s="5">
        <v>0.05</v>
      </c>
      <c r="R262" s="5">
        <v>0.2</v>
      </c>
      <c r="S262" s="8">
        <v>1.7463768115942031</v>
      </c>
      <c r="T262" s="5" t="s">
        <v>44</v>
      </c>
      <c r="U262" s="5"/>
      <c r="V262" s="5"/>
      <c r="W262" s="5"/>
      <c r="X262" s="5"/>
      <c r="Y262" s="5" t="s">
        <v>44</v>
      </c>
      <c r="Z262" s="5"/>
      <c r="AA262" s="5"/>
      <c r="AB262" s="9" t="s">
        <v>44</v>
      </c>
      <c r="AC262" s="2" t="s">
        <v>46</v>
      </c>
      <c r="AD262" s="2">
        <v>0</v>
      </c>
      <c r="AE262" s="2" t="s">
        <v>49</v>
      </c>
      <c r="AF262" s="2" t="str">
        <f t="shared" si="4"/>
        <v>Normal</v>
      </c>
      <c r="AG262" s="5">
        <v>0</v>
      </c>
      <c r="AH262" s="5" t="str">
        <f>IF(AG262=0,"Normal",
IF(AND(T262="Yes",S262&gt;=2),"ALD",
IF(AND(T262="Yes",S262&gt;=2,O262&gt;N262),"ALD",
IF(AND(T262="No",S262&gt;=2),"ALD",
IF(AND(G262&gt;=25,OR(T262="No",AND(T262="Yes",S262&lt;1))),"NAFLD",
IF(AND(N262&gt;O262,N262&gt;40,S262&lt;1),"NAFLD",
IF(AND(T262="Yes",S262&lt;1,G262&gt;=25,N262&gt;O262),"NAFLD",
IF(OR(P262&gt;1.2,Q262&gt;0.3),"Hyperbilirubinemia",
"Others"))))))))</f>
        <v>Normal</v>
      </c>
      <c r="AI262" s="5" t="str">
        <f>IF(AG262=0,"Normal",
IF(AND(T262="Yes",S262&gt;=2),"ALD (Confirmed)",
IF(AND(T262="Yes",S262&gt;=2,O262&gt;N262),"ALD (Confirmed)",
IF(AND(T262="No",S262&gt;=2),"ALD (Probable)",
IF(AND(G262&gt;=25,OR(T262="No",AND(T262="Yes",S262&lt;1))),"NAFLD",
IF(AND(N262&gt;O262,N262&gt;40,S262&lt;1),"NAFLD",
IF(AND(T262="Yes",S262&lt;1,G262&gt;=25,N262&gt;O262),"NAFLD",
IF(OR(P262&gt;1.2,Q262&gt;0.3),"Hyperbilirubinemia",
"Others"))))))))</f>
        <v>Normal</v>
      </c>
      <c r="AJ262" s="5">
        <v>6</v>
      </c>
      <c r="AK262" s="5" t="s">
        <v>34</v>
      </c>
    </row>
    <row r="263" spans="1:37" ht="43.2" x14ac:dyDescent="0.3">
      <c r="A263" s="5">
        <v>272</v>
      </c>
      <c r="B263" s="5" t="s">
        <v>39</v>
      </c>
      <c r="C263" s="5">
        <v>28</v>
      </c>
      <c r="D263" s="2">
        <v>2</v>
      </c>
      <c r="E263" s="5">
        <v>175</v>
      </c>
      <c r="F263" s="5">
        <v>89</v>
      </c>
      <c r="G263" s="6">
        <v>29.061224489795919</v>
      </c>
      <c r="H263" s="9" t="s">
        <v>42</v>
      </c>
      <c r="I263" s="2">
        <v>30</v>
      </c>
      <c r="J263" s="5" t="s">
        <v>44</v>
      </c>
      <c r="K263" s="5" t="s">
        <v>44</v>
      </c>
      <c r="L263" s="5" t="s">
        <v>44</v>
      </c>
      <c r="M263" s="5" t="s">
        <v>44</v>
      </c>
      <c r="N263" s="5">
        <v>26.3</v>
      </c>
      <c r="O263" s="5">
        <v>38.200000000000003</v>
      </c>
      <c r="P263" s="5">
        <v>0.42</v>
      </c>
      <c r="Q263" s="5">
        <v>0.12</v>
      </c>
      <c r="R263" s="5">
        <v>0.3</v>
      </c>
      <c r="S263" s="8">
        <v>1.4524714828897338</v>
      </c>
      <c r="T263" s="5" t="s">
        <v>44</v>
      </c>
      <c r="U263" s="5"/>
      <c r="V263" s="5"/>
      <c r="W263" s="5"/>
      <c r="X263" s="5"/>
      <c r="Y263" s="5" t="s">
        <v>44</v>
      </c>
      <c r="Z263" s="5"/>
      <c r="AA263" s="5"/>
      <c r="AB263" s="9" t="s">
        <v>44</v>
      </c>
      <c r="AC263" s="2" t="s">
        <v>46</v>
      </c>
      <c r="AD263" s="2">
        <v>0</v>
      </c>
      <c r="AE263" s="2" t="s">
        <v>52</v>
      </c>
      <c r="AF263" s="2" t="str">
        <f t="shared" si="4"/>
        <v>Normal</v>
      </c>
      <c r="AG263" s="5">
        <v>0</v>
      </c>
      <c r="AH263" s="5" t="str">
        <f>IF(AG263=0,"Normal",
IF(AND(T263="Yes",S263&gt;=2),"ALD",
IF(AND(T263="Yes",S263&gt;=2,O263&gt;N263),"ALD",
IF(AND(T263="No",S263&gt;=2),"ALD",
IF(AND(G263&gt;=25,OR(T263="No",AND(T263="Yes",S263&lt;1))),"NAFLD",
IF(AND(N263&gt;O263,N263&gt;40,S263&lt;1),"NAFLD",
IF(AND(T263="Yes",S263&lt;1,G263&gt;=25,N263&gt;O263),"NAFLD",
IF(OR(P263&gt;1.2,Q263&gt;0.3),"Hyperbilirubinemia",
"Others"))))))))</f>
        <v>Normal</v>
      </c>
      <c r="AI263" s="5" t="str">
        <f>IF(AG263=0,"Normal",
IF(AND(T263="Yes",S263&gt;=2),"ALD (Confirmed)",
IF(AND(T263="Yes",S263&gt;=2,O263&gt;N263),"ALD (Confirmed)",
IF(AND(T263="No",S263&gt;=2),"ALD (Probable)",
IF(AND(G263&gt;=25,OR(T263="No",AND(T263="Yes",S263&lt;1))),"NAFLD",
IF(AND(N263&gt;O263,N263&gt;40,S263&lt;1),"NAFLD",
IF(AND(T263="Yes",S263&lt;1,G263&gt;=25,N263&gt;O263),"NAFLD",
IF(OR(P263&gt;1.2,Q263&gt;0.3),"Hyperbilirubinemia",
"Others"))))))))</f>
        <v>Normal</v>
      </c>
      <c r="AJ263" s="5">
        <v>16</v>
      </c>
      <c r="AK263" s="5" t="s">
        <v>34</v>
      </c>
    </row>
    <row r="264" spans="1:37" ht="43.2" x14ac:dyDescent="0.3">
      <c r="A264" s="5">
        <v>273</v>
      </c>
      <c r="B264" s="5" t="s">
        <v>39</v>
      </c>
      <c r="C264" s="5">
        <v>41</v>
      </c>
      <c r="D264" s="2">
        <v>18</v>
      </c>
      <c r="E264" s="5">
        <v>164</v>
      </c>
      <c r="F264" s="5">
        <v>84</v>
      </c>
      <c r="G264" s="6">
        <v>31.231409875074359</v>
      </c>
      <c r="H264" s="9" t="s">
        <v>41</v>
      </c>
      <c r="I264" s="2">
        <v>32</v>
      </c>
      <c r="J264" s="5" t="s">
        <v>44</v>
      </c>
      <c r="K264" s="5" t="s">
        <v>44</v>
      </c>
      <c r="L264" s="5" t="s">
        <v>44</v>
      </c>
      <c r="M264" s="5" t="s">
        <v>44</v>
      </c>
      <c r="N264" s="5">
        <v>37.5</v>
      </c>
      <c r="O264" s="5">
        <v>55.5</v>
      </c>
      <c r="P264" s="5">
        <v>0.52</v>
      </c>
      <c r="Q264" s="5">
        <v>0.09</v>
      </c>
      <c r="R264" s="5">
        <v>0.43</v>
      </c>
      <c r="S264" s="8">
        <v>1.48</v>
      </c>
      <c r="T264" s="5" t="s">
        <v>44</v>
      </c>
      <c r="U264" s="5"/>
      <c r="V264" s="5"/>
      <c r="W264" s="5"/>
      <c r="X264" s="5"/>
      <c r="Y264" s="5" t="s">
        <v>44</v>
      </c>
      <c r="Z264" s="5"/>
      <c r="AA264" s="5"/>
      <c r="AB264" s="9" t="s">
        <v>44</v>
      </c>
      <c r="AC264" s="2" t="s">
        <v>46</v>
      </c>
      <c r="AD264" s="2">
        <v>0</v>
      </c>
      <c r="AE264" s="2" t="s">
        <v>48</v>
      </c>
      <c r="AF264" s="2" t="str">
        <f t="shared" si="4"/>
        <v>Abnormal</v>
      </c>
      <c r="AG264" s="5">
        <v>1</v>
      </c>
      <c r="AH264" s="5" t="str">
        <f>IF(AG264=0,"Normal",
IF(AND(T264="Yes",S264&gt;=2),"ALD",
IF(AND(T264="Yes",S264&gt;=2,O264&gt;N264),"ALD",
IF(AND(T264="No",S264&gt;=2),"ALD",
IF(AND(G264&gt;=25,OR(T264="No",AND(T264="Yes",S264&lt;1))),"NAFLD",
IF(AND(N264&gt;O264,N264&gt;40,S264&lt;1),"NAFLD",
IF(AND(T264="Yes",S264&lt;1,G264&gt;=25,N264&gt;O264),"NAFLD",
IF(OR(P264&gt;1.2,Q264&gt;0.3),"Hyperbilirubinemia",
"Others"))))))))</f>
        <v>NAFLD</v>
      </c>
      <c r="AI264" s="5" t="str">
        <f>IF(AG264=0,"Normal",
IF(AND(T264="Yes",S264&gt;=2),"ALD (Confirmed)",
IF(AND(T264="Yes",S264&gt;=2,O264&gt;N264),"ALD (Confirmed)",
IF(AND(T264="No",S264&gt;=2),"ALD (Probable)",
IF(AND(G264&gt;=25,OR(T264="No",AND(T264="Yes",S264&lt;1))),"NAFLD",
IF(AND(N264&gt;O264,N264&gt;40,S264&lt;1),"NAFLD",
IF(AND(T264="Yes",S264&lt;1,G264&gt;=25,N264&gt;O264),"NAFLD",
IF(OR(P264&gt;1.2,Q264&gt;0.3),"Hyperbilirubinemia",
"Others"))))))))</f>
        <v>NAFLD</v>
      </c>
      <c r="AJ264" s="5">
        <v>21</v>
      </c>
      <c r="AK264" s="5" t="s">
        <v>35</v>
      </c>
    </row>
    <row r="265" spans="1:37" ht="43.2" x14ac:dyDescent="0.3">
      <c r="A265" s="5">
        <v>274</v>
      </c>
      <c r="B265" s="5" t="s">
        <v>39</v>
      </c>
      <c r="C265" s="5">
        <v>35</v>
      </c>
      <c r="D265" s="5">
        <v>10</v>
      </c>
      <c r="E265" s="5">
        <v>167</v>
      </c>
      <c r="F265" s="5">
        <v>69</v>
      </c>
      <c r="G265" s="6">
        <v>24.74</v>
      </c>
      <c r="H265" s="9" t="s">
        <v>33</v>
      </c>
      <c r="I265" s="7">
        <v>32</v>
      </c>
      <c r="J265" s="5" t="s">
        <v>44</v>
      </c>
      <c r="K265" s="5" t="s">
        <v>44</v>
      </c>
      <c r="L265" s="5" t="s">
        <v>44</v>
      </c>
      <c r="M265" s="5" t="s">
        <v>44</v>
      </c>
      <c r="N265" s="5">
        <v>27.58</v>
      </c>
      <c r="O265" s="5">
        <v>58.29</v>
      </c>
      <c r="P265" s="5">
        <v>0.52</v>
      </c>
      <c r="Q265" s="5">
        <v>0.11</v>
      </c>
      <c r="R265" s="5">
        <v>0.41</v>
      </c>
      <c r="S265" s="8">
        <v>2.113488034807832</v>
      </c>
      <c r="T265" s="5" t="s">
        <v>44</v>
      </c>
      <c r="U265" s="5"/>
      <c r="V265" s="5"/>
      <c r="W265" s="5"/>
      <c r="X265" s="5"/>
      <c r="Y265" s="5" t="s">
        <v>44</v>
      </c>
      <c r="Z265" s="5"/>
      <c r="AA265" s="5"/>
      <c r="AB265" s="9" t="s">
        <v>44</v>
      </c>
      <c r="AC265" s="2" t="s">
        <v>46</v>
      </c>
      <c r="AD265" s="2">
        <v>0</v>
      </c>
      <c r="AE265" s="2" t="s">
        <v>49</v>
      </c>
      <c r="AF265" s="2" t="str">
        <f t="shared" si="4"/>
        <v>Abnormal</v>
      </c>
      <c r="AG265" s="5">
        <v>1</v>
      </c>
      <c r="AH265" s="5" t="str">
        <f>IF(AG265=0,"Normal",
IF(AND(T265="Yes",S265&gt;=2),"ALD",
IF(AND(T265="Yes",S265&gt;=2,O265&gt;N265),"ALD",
IF(AND(T265="No",S265&gt;=2),"ALD",
IF(AND(G265&gt;=25,OR(T265="No",AND(T265="Yes",S265&lt;1))),"NAFLD",
IF(AND(N265&gt;O265,N265&gt;40,S265&lt;1),"NAFLD",
IF(AND(T265="Yes",S265&lt;1,G265&gt;=25,N265&gt;O265),"NAFLD",
IF(OR(P265&gt;1.2,Q265&gt;0.3),"Hyperbilirubinemia",
"Others"))))))))</f>
        <v>ALD</v>
      </c>
      <c r="AI265" s="5" t="str">
        <f>IF(AG265=0,"Normal",
IF(AND(T265="Yes",S265&gt;=2),"ALD (Confirmed)",
IF(AND(T265="Yes",S265&gt;=2,O265&gt;N265),"ALD (Confirmed)",
IF(AND(T265="No",S265&gt;=2),"ALD (Probable)",
IF(AND(G265&gt;=25,OR(T265="No",AND(T265="Yes",S265&lt;1))),"NAFLD",
IF(AND(N265&gt;O265,N265&gt;40,S265&lt;1),"NAFLD",
IF(AND(T265="Yes",S265&lt;1,G265&gt;=25,N265&gt;O265),"NAFLD",
IF(OR(P265&gt;1.2,Q265&gt;0.3),"Hyperbilirubinemia",
"Others"))))))))</f>
        <v>ALD (Probable)</v>
      </c>
      <c r="AJ265" s="5">
        <v>10</v>
      </c>
      <c r="AK265" s="5" t="s">
        <v>34</v>
      </c>
    </row>
    <row r="266" spans="1:37" ht="43.2" x14ac:dyDescent="0.3">
      <c r="A266" s="5">
        <v>275</v>
      </c>
      <c r="B266" s="5" t="s">
        <v>39</v>
      </c>
      <c r="C266" s="5">
        <v>36</v>
      </c>
      <c r="D266" s="5">
        <v>10</v>
      </c>
      <c r="E266" s="5">
        <v>167</v>
      </c>
      <c r="F266" s="5">
        <v>69</v>
      </c>
      <c r="G266" s="6">
        <v>24.74</v>
      </c>
      <c r="H266" s="9" t="s">
        <v>33</v>
      </c>
      <c r="I266" s="7">
        <v>32</v>
      </c>
      <c r="J266" s="5" t="s">
        <v>44</v>
      </c>
      <c r="K266" s="5" t="s">
        <v>44</v>
      </c>
      <c r="L266" s="5" t="s">
        <v>44</v>
      </c>
      <c r="M266" s="5" t="s">
        <v>44</v>
      </c>
      <c r="N266" s="5">
        <v>38.6</v>
      </c>
      <c r="O266" s="5">
        <v>32.700000000000003</v>
      </c>
      <c r="P266" s="5">
        <v>1.02</v>
      </c>
      <c r="Q266" s="5">
        <v>0.19</v>
      </c>
      <c r="R266" s="5">
        <v>0.83</v>
      </c>
      <c r="S266" s="8">
        <v>0.84715025906735753</v>
      </c>
      <c r="T266" s="5" t="s">
        <v>44</v>
      </c>
      <c r="U266" s="5"/>
      <c r="V266" s="5"/>
      <c r="W266" s="5"/>
      <c r="X266" s="5"/>
      <c r="Y266" s="5" t="s">
        <v>44</v>
      </c>
      <c r="Z266" s="5"/>
      <c r="AA266" s="5"/>
      <c r="AB266" s="9" t="s">
        <v>44</v>
      </c>
      <c r="AC266" s="2" t="s">
        <v>46</v>
      </c>
      <c r="AD266" s="2">
        <v>0</v>
      </c>
      <c r="AE266" s="2" t="s">
        <v>49</v>
      </c>
      <c r="AF266" s="2" t="str">
        <f t="shared" si="4"/>
        <v>Normal</v>
      </c>
      <c r="AG266" s="5">
        <v>0</v>
      </c>
      <c r="AH266" s="5" t="str">
        <f>IF(AG266=0,"Normal",
IF(AND(T266="Yes",S266&gt;=2),"ALD",
IF(AND(T266="Yes",S266&gt;=2,O266&gt;N266),"ALD",
IF(AND(T266="No",S266&gt;=2),"ALD",
IF(AND(G266&gt;=25,OR(T266="No",AND(T266="Yes",S266&lt;1))),"NAFLD",
IF(AND(N266&gt;O266,N266&gt;40,S266&lt;1),"NAFLD",
IF(AND(T266="Yes",S266&lt;1,G266&gt;=25,N266&gt;O266),"NAFLD",
IF(OR(P266&gt;1.2,Q266&gt;0.3),"Hyperbilirubinemia",
"Others"))))))))</f>
        <v>Normal</v>
      </c>
      <c r="AI266" s="5" t="str">
        <f>IF(AG266=0,"Normal",
IF(AND(T266="Yes",S266&gt;=2),"ALD (Confirmed)",
IF(AND(T266="Yes",S266&gt;=2,O266&gt;N266),"ALD (Confirmed)",
IF(AND(T266="No",S266&gt;=2),"ALD (Probable)",
IF(AND(G266&gt;=25,OR(T266="No",AND(T266="Yes",S266&lt;1))),"NAFLD",
IF(AND(N266&gt;O266,N266&gt;40,S266&lt;1),"NAFLD",
IF(AND(T266="Yes",S266&lt;1,G266&gt;=25,N266&gt;O266),"NAFLD",
IF(OR(P266&gt;1.2,Q266&gt;0.3),"Hyperbilirubinemia",
"Others"))))))))</f>
        <v>Normal</v>
      </c>
      <c r="AJ266" s="5">
        <v>8</v>
      </c>
      <c r="AK266" s="5" t="s">
        <v>34</v>
      </c>
    </row>
    <row r="267" spans="1:37" ht="43.2" x14ac:dyDescent="0.3">
      <c r="A267" s="5">
        <v>276</v>
      </c>
      <c r="B267" s="5" t="s">
        <v>40</v>
      </c>
      <c r="C267" s="5">
        <v>30</v>
      </c>
      <c r="D267" s="5">
        <v>10</v>
      </c>
      <c r="E267" s="5">
        <v>167</v>
      </c>
      <c r="F267" s="5">
        <v>69</v>
      </c>
      <c r="G267" s="6">
        <v>24.74</v>
      </c>
      <c r="H267" s="9" t="s">
        <v>33</v>
      </c>
      <c r="I267" s="7">
        <v>32</v>
      </c>
      <c r="J267" s="5" t="s">
        <v>44</v>
      </c>
      <c r="K267" s="5" t="s">
        <v>44</v>
      </c>
      <c r="L267" s="5" t="s">
        <v>44</v>
      </c>
      <c r="M267" s="5" t="s">
        <v>44</v>
      </c>
      <c r="N267" s="5">
        <v>18.7</v>
      </c>
      <c r="O267" s="5">
        <v>29.5</v>
      </c>
      <c r="P267" s="5">
        <v>0.46</v>
      </c>
      <c r="Q267" s="5">
        <v>0.12</v>
      </c>
      <c r="R267" s="5">
        <v>0.34</v>
      </c>
      <c r="S267" s="8">
        <v>1.5775401069518717</v>
      </c>
      <c r="T267" s="5" t="s">
        <v>44</v>
      </c>
      <c r="U267" s="5"/>
      <c r="V267" s="5"/>
      <c r="W267" s="5"/>
      <c r="X267" s="5"/>
      <c r="Y267" s="5" t="s">
        <v>44</v>
      </c>
      <c r="Z267" s="5"/>
      <c r="AA267" s="5"/>
      <c r="AB267" s="9" t="s">
        <v>44</v>
      </c>
      <c r="AC267" s="2" t="s">
        <v>46</v>
      </c>
      <c r="AD267" s="2">
        <v>0</v>
      </c>
      <c r="AE267" s="2" t="s">
        <v>49</v>
      </c>
      <c r="AF267" s="2" t="str">
        <f t="shared" si="4"/>
        <v>Normal</v>
      </c>
      <c r="AG267" s="5">
        <v>0</v>
      </c>
      <c r="AH267" s="5" t="str">
        <f>IF(AG267=0,"Normal",
IF(AND(T267="Yes",S267&gt;=2),"ALD",
IF(AND(T267="Yes",S267&gt;=2,O267&gt;N267),"ALD",
IF(AND(T267="No",S267&gt;=2),"ALD",
IF(AND(G267&gt;=25,OR(T267="No",AND(T267="Yes",S267&lt;1))),"NAFLD",
IF(AND(N267&gt;O267,N267&gt;40,S267&lt;1),"NAFLD",
IF(AND(T267="Yes",S267&lt;1,G267&gt;=25,N267&gt;O267),"NAFLD",
IF(OR(P267&gt;1.2,Q267&gt;0.3),"Hyperbilirubinemia",
"Others"))))))))</f>
        <v>Normal</v>
      </c>
      <c r="AI267" s="5" t="str">
        <f>IF(AG267=0,"Normal",
IF(AND(T267="Yes",S267&gt;=2),"ALD (Confirmed)",
IF(AND(T267="Yes",S267&gt;=2,O267&gt;N267),"ALD (Confirmed)",
IF(AND(T267="No",S267&gt;=2),"ALD (Probable)",
IF(AND(G267&gt;=25,OR(T267="No",AND(T267="Yes",S267&lt;1))),"NAFLD",
IF(AND(N267&gt;O267,N267&gt;40,S267&lt;1),"NAFLD",
IF(AND(T267="Yes",S267&lt;1,G267&gt;=25,N267&gt;O267),"NAFLD",
IF(OR(P267&gt;1.2,Q267&gt;0.3),"Hyperbilirubinemia",
"Others"))))))))</f>
        <v>Normal</v>
      </c>
      <c r="AJ267" s="5">
        <v>6</v>
      </c>
      <c r="AK267" s="5" t="s">
        <v>34</v>
      </c>
    </row>
    <row r="268" spans="1:37" ht="43.2" x14ac:dyDescent="0.3">
      <c r="A268" s="5">
        <v>277</v>
      </c>
      <c r="B268" s="5" t="s">
        <v>40</v>
      </c>
      <c r="C268" s="5">
        <v>28</v>
      </c>
      <c r="D268" s="5">
        <v>10</v>
      </c>
      <c r="E268" s="5">
        <v>167</v>
      </c>
      <c r="F268" s="5">
        <v>69</v>
      </c>
      <c r="G268" s="6">
        <v>24.74</v>
      </c>
      <c r="H268" s="9" t="s">
        <v>33</v>
      </c>
      <c r="I268" s="7">
        <v>32</v>
      </c>
      <c r="J268" s="5" t="s">
        <v>44</v>
      </c>
      <c r="K268" s="5" t="s">
        <v>44</v>
      </c>
      <c r="L268" s="5" t="s">
        <v>44</v>
      </c>
      <c r="M268" s="5" t="s">
        <v>44</v>
      </c>
      <c r="N268" s="5">
        <v>27.1</v>
      </c>
      <c r="O268" s="5">
        <v>34.6</v>
      </c>
      <c r="P268" s="5">
        <v>0.28000000000000003</v>
      </c>
      <c r="Q268" s="5">
        <v>0.08</v>
      </c>
      <c r="R268" s="5">
        <v>0.2</v>
      </c>
      <c r="S268" s="8">
        <v>1.2767527675276753</v>
      </c>
      <c r="T268" s="5" t="s">
        <v>44</v>
      </c>
      <c r="U268" s="5"/>
      <c r="V268" s="5"/>
      <c r="W268" s="5"/>
      <c r="X268" s="5"/>
      <c r="Y268" s="5" t="s">
        <v>44</v>
      </c>
      <c r="Z268" s="5"/>
      <c r="AA268" s="5"/>
      <c r="AB268" s="9" t="s">
        <v>44</v>
      </c>
      <c r="AC268" s="2" t="s">
        <v>46</v>
      </c>
      <c r="AD268" s="2">
        <v>0</v>
      </c>
      <c r="AE268" s="2" t="s">
        <v>49</v>
      </c>
      <c r="AF268" s="2" t="str">
        <f t="shared" si="4"/>
        <v>Normal</v>
      </c>
      <c r="AG268" s="5">
        <v>0</v>
      </c>
      <c r="AH268" s="5" t="str">
        <f>IF(AG268=0,"Normal",
IF(AND(T268="Yes",S268&gt;=2),"ALD",
IF(AND(T268="Yes",S268&gt;=2,O268&gt;N268),"ALD",
IF(AND(T268="No",S268&gt;=2),"ALD",
IF(AND(G268&gt;=25,OR(T268="No",AND(T268="Yes",S268&lt;1))),"NAFLD",
IF(AND(N268&gt;O268,N268&gt;40,S268&lt;1),"NAFLD",
IF(AND(T268="Yes",S268&lt;1,G268&gt;=25,N268&gt;O268),"NAFLD",
IF(OR(P268&gt;1.2,Q268&gt;0.3),"Hyperbilirubinemia",
"Others"))))))))</f>
        <v>Normal</v>
      </c>
      <c r="AI268" s="5" t="str">
        <f>IF(AG268=0,"Normal",
IF(AND(T268="Yes",S268&gt;=2),"ALD (Confirmed)",
IF(AND(T268="Yes",S268&gt;=2,O268&gt;N268),"ALD (Confirmed)",
IF(AND(T268="No",S268&gt;=2),"ALD (Probable)",
IF(AND(G268&gt;=25,OR(T268="No",AND(T268="Yes",S268&lt;1))),"NAFLD",
IF(AND(N268&gt;O268,N268&gt;40,S268&lt;1),"NAFLD",
IF(AND(T268="Yes",S268&lt;1,G268&gt;=25,N268&gt;O268),"NAFLD",
IF(OR(P268&gt;1.2,Q268&gt;0.3),"Hyperbilirubinemia",
"Others"))))))))</f>
        <v>Normal</v>
      </c>
      <c r="AJ268" s="5">
        <v>6</v>
      </c>
      <c r="AK268" s="5" t="s">
        <v>34</v>
      </c>
    </row>
    <row r="269" spans="1:37" ht="43.2" x14ac:dyDescent="0.3">
      <c r="A269" s="5">
        <v>278</v>
      </c>
      <c r="B269" s="5" t="s">
        <v>40</v>
      </c>
      <c r="C269" s="5">
        <v>27</v>
      </c>
      <c r="D269" s="5">
        <v>10</v>
      </c>
      <c r="E269" s="5">
        <v>167</v>
      </c>
      <c r="F269" s="5">
        <v>69</v>
      </c>
      <c r="G269" s="6">
        <v>24.74</v>
      </c>
      <c r="H269" s="9" t="s">
        <v>33</v>
      </c>
      <c r="I269" s="7">
        <v>32</v>
      </c>
      <c r="J269" s="5" t="s">
        <v>44</v>
      </c>
      <c r="K269" s="5" t="s">
        <v>44</v>
      </c>
      <c r="L269" s="5" t="s">
        <v>44</v>
      </c>
      <c r="M269" s="5" t="s">
        <v>44</v>
      </c>
      <c r="N269" s="5">
        <v>20.43</v>
      </c>
      <c r="O269" s="5">
        <v>20.010000000000002</v>
      </c>
      <c r="P269" s="5">
        <v>1.03</v>
      </c>
      <c r="Q269" s="5">
        <v>0.23</v>
      </c>
      <c r="R269" s="5">
        <v>0.8</v>
      </c>
      <c r="S269" s="8">
        <v>0.9794419970631425</v>
      </c>
      <c r="T269" s="5" t="s">
        <v>44</v>
      </c>
      <c r="U269" s="5"/>
      <c r="V269" s="5"/>
      <c r="W269" s="5"/>
      <c r="X269" s="5"/>
      <c r="Y269" s="5" t="s">
        <v>44</v>
      </c>
      <c r="Z269" s="5"/>
      <c r="AA269" s="5"/>
      <c r="AB269" s="9" t="s">
        <v>44</v>
      </c>
      <c r="AC269" s="2" t="s">
        <v>46</v>
      </c>
      <c r="AD269" s="2">
        <v>0</v>
      </c>
      <c r="AE269" s="2" t="s">
        <v>49</v>
      </c>
      <c r="AF269" s="2" t="str">
        <f t="shared" si="4"/>
        <v>Normal</v>
      </c>
      <c r="AG269" s="5">
        <v>0</v>
      </c>
      <c r="AH269" s="5" t="str">
        <f>IF(AG269=0,"Normal",
IF(AND(T269="Yes",S269&gt;=2),"ALD",
IF(AND(T269="Yes",S269&gt;=2,O269&gt;N269),"ALD",
IF(AND(T269="No",S269&gt;=2),"ALD",
IF(AND(G269&gt;=25,OR(T269="No",AND(T269="Yes",S269&lt;1))),"NAFLD",
IF(AND(N269&gt;O269,N269&gt;40,S269&lt;1),"NAFLD",
IF(AND(T269="Yes",S269&lt;1,G269&gt;=25,N269&gt;O269),"NAFLD",
IF(OR(P269&gt;1.2,Q269&gt;0.3),"Hyperbilirubinemia",
"Others"))))))))</f>
        <v>Normal</v>
      </c>
      <c r="AI269" s="5" t="str">
        <f>IF(AG269=0,"Normal",
IF(AND(T269="Yes",S269&gt;=2),"ALD (Confirmed)",
IF(AND(T269="Yes",S269&gt;=2,O269&gt;N269),"ALD (Confirmed)",
IF(AND(T269="No",S269&gt;=2),"ALD (Probable)",
IF(AND(G269&gt;=25,OR(T269="No",AND(T269="Yes",S269&lt;1))),"NAFLD",
IF(AND(N269&gt;O269,N269&gt;40,S269&lt;1),"NAFLD",
IF(AND(T269="Yes",S269&lt;1,G269&gt;=25,N269&gt;O269),"NAFLD",
IF(OR(P269&gt;1.2,Q269&gt;0.3),"Hyperbilirubinemia",
"Others"))))))))</f>
        <v>Normal</v>
      </c>
      <c r="AJ269" s="5">
        <v>6</v>
      </c>
      <c r="AK269" s="5" t="s">
        <v>34</v>
      </c>
    </row>
    <row r="270" spans="1:37" ht="43.2" x14ac:dyDescent="0.3">
      <c r="A270" s="5">
        <v>279</v>
      </c>
      <c r="B270" s="5" t="s">
        <v>40</v>
      </c>
      <c r="C270" s="5">
        <v>28</v>
      </c>
      <c r="D270" s="5">
        <v>10</v>
      </c>
      <c r="E270" s="5">
        <v>167</v>
      </c>
      <c r="F270" s="5">
        <v>69</v>
      </c>
      <c r="G270" s="6">
        <v>24.74</v>
      </c>
      <c r="H270" s="9" t="s">
        <v>33</v>
      </c>
      <c r="I270" s="7">
        <v>32</v>
      </c>
      <c r="J270" s="5" t="s">
        <v>44</v>
      </c>
      <c r="K270" s="5" t="s">
        <v>44</v>
      </c>
      <c r="L270" s="5" t="s">
        <v>44</v>
      </c>
      <c r="M270" s="5" t="s">
        <v>44</v>
      </c>
      <c r="N270" s="5">
        <v>17.899999999999999</v>
      </c>
      <c r="O270" s="5">
        <v>35.9</v>
      </c>
      <c r="P270" s="5">
        <v>0.5</v>
      </c>
      <c r="Q270" s="5">
        <v>0.01</v>
      </c>
      <c r="R270" s="5">
        <v>0.49</v>
      </c>
      <c r="S270" s="8">
        <v>2.005586592178771</v>
      </c>
      <c r="T270" s="5" t="s">
        <v>44</v>
      </c>
      <c r="U270" s="5"/>
      <c r="V270" s="5"/>
      <c r="W270" s="5"/>
      <c r="X270" s="5"/>
      <c r="Y270" s="5" t="s">
        <v>44</v>
      </c>
      <c r="Z270" s="5"/>
      <c r="AA270" s="5"/>
      <c r="AB270" s="9" t="s">
        <v>44</v>
      </c>
      <c r="AC270" s="2" t="s">
        <v>46</v>
      </c>
      <c r="AD270" s="2">
        <v>0</v>
      </c>
      <c r="AE270" s="2" t="s">
        <v>49</v>
      </c>
      <c r="AF270" s="2" t="str">
        <f t="shared" si="4"/>
        <v>Normal</v>
      </c>
      <c r="AG270" s="5">
        <v>0</v>
      </c>
      <c r="AH270" s="5" t="str">
        <f>IF(AG270=0,"Normal",
IF(AND(T270="Yes",S270&gt;=2),"ALD",
IF(AND(T270="Yes",S270&gt;=2,O270&gt;N270),"ALD",
IF(AND(T270="No",S270&gt;=2),"ALD",
IF(AND(G270&gt;=25,OR(T270="No",AND(T270="Yes",S270&lt;1))),"NAFLD",
IF(AND(N270&gt;O270,N270&gt;40,S270&lt;1),"NAFLD",
IF(AND(T270="Yes",S270&lt;1,G270&gt;=25,N270&gt;O270),"NAFLD",
IF(OR(P270&gt;1.2,Q270&gt;0.3),"Hyperbilirubinemia",
"Others"))))))))</f>
        <v>Normal</v>
      </c>
      <c r="AI270" s="5" t="str">
        <f>IF(AG270=0,"Normal",
IF(AND(T270="Yes",S270&gt;=2),"ALD (Confirmed)",
IF(AND(T270="Yes",S270&gt;=2,O270&gt;N270),"ALD (Confirmed)",
IF(AND(T270="No",S270&gt;=2),"ALD (Probable)",
IF(AND(G270&gt;=25,OR(T270="No",AND(T270="Yes",S270&lt;1))),"NAFLD",
IF(AND(N270&gt;O270,N270&gt;40,S270&lt;1),"NAFLD",
IF(AND(T270="Yes",S270&lt;1,G270&gt;=25,N270&gt;O270),"NAFLD",
IF(OR(P270&gt;1.2,Q270&gt;0.3),"Hyperbilirubinemia",
"Others"))))))))</f>
        <v>Normal</v>
      </c>
      <c r="AJ270" s="5">
        <v>6</v>
      </c>
      <c r="AK270" s="5" t="s">
        <v>34</v>
      </c>
    </row>
    <row r="271" spans="1:37" ht="43.2" x14ac:dyDescent="0.3">
      <c r="A271" s="5">
        <v>280</v>
      </c>
      <c r="B271" s="5" t="s">
        <v>40</v>
      </c>
      <c r="C271" s="5">
        <v>35</v>
      </c>
      <c r="D271" s="5">
        <v>10</v>
      </c>
      <c r="E271" s="5">
        <v>167</v>
      </c>
      <c r="F271" s="5">
        <v>69</v>
      </c>
      <c r="G271" s="6">
        <v>24.74</v>
      </c>
      <c r="H271" s="9" t="s">
        <v>33</v>
      </c>
      <c r="I271" s="7">
        <v>32</v>
      </c>
      <c r="J271" s="5" t="s">
        <v>44</v>
      </c>
      <c r="K271" s="5" t="s">
        <v>44</v>
      </c>
      <c r="L271" s="5" t="s">
        <v>44</v>
      </c>
      <c r="M271" s="5" t="s">
        <v>44</v>
      </c>
      <c r="N271" s="5">
        <v>13.8</v>
      </c>
      <c r="O271" s="5">
        <v>30</v>
      </c>
      <c r="P271" s="5">
        <v>0.32</v>
      </c>
      <c r="Q271" s="5">
        <v>0.02</v>
      </c>
      <c r="R271" s="5">
        <v>0.3</v>
      </c>
      <c r="S271" s="8">
        <v>2.1739130434782608</v>
      </c>
      <c r="T271" s="5" t="s">
        <v>44</v>
      </c>
      <c r="U271" s="5"/>
      <c r="V271" s="5"/>
      <c r="W271" s="5"/>
      <c r="X271" s="5"/>
      <c r="Y271" s="5" t="s">
        <v>44</v>
      </c>
      <c r="Z271" s="5"/>
      <c r="AA271" s="5"/>
      <c r="AB271" s="9" t="s">
        <v>44</v>
      </c>
      <c r="AC271" s="2" t="s">
        <v>46</v>
      </c>
      <c r="AD271" s="2">
        <v>0</v>
      </c>
      <c r="AE271" s="2" t="s">
        <v>49</v>
      </c>
      <c r="AF271" s="2" t="str">
        <f t="shared" si="4"/>
        <v>Normal</v>
      </c>
      <c r="AG271" s="5">
        <v>0</v>
      </c>
      <c r="AH271" s="5" t="str">
        <f>IF(AG271=0,"Normal",
IF(AND(T271="Yes",S271&gt;=2),"ALD",
IF(AND(T271="Yes",S271&gt;=2,O271&gt;N271),"ALD",
IF(AND(T271="No",S271&gt;=2),"ALD",
IF(AND(G271&gt;=25,OR(T271="No",AND(T271="Yes",S271&lt;1))),"NAFLD",
IF(AND(N271&gt;O271,N271&gt;40,S271&lt;1),"NAFLD",
IF(AND(T271="Yes",S271&lt;1,G271&gt;=25,N271&gt;O271),"NAFLD",
IF(OR(P271&gt;1.2,Q271&gt;0.3),"Hyperbilirubinemia",
"Others"))))))))</f>
        <v>Normal</v>
      </c>
      <c r="AI271" s="5" t="str">
        <f>IF(AG271=0,"Normal",
IF(AND(T271="Yes",S271&gt;=2),"ALD (Confirmed)",
IF(AND(T271="Yes",S271&gt;=2,O271&gt;N271),"ALD (Confirmed)",
IF(AND(T271="No",S271&gt;=2),"ALD (Probable)",
IF(AND(G271&gt;=25,OR(T271="No",AND(T271="Yes",S271&lt;1))),"NAFLD",
IF(AND(N271&gt;O271,N271&gt;40,S271&lt;1),"NAFLD",
IF(AND(T271="Yes",S271&lt;1,G271&gt;=25,N271&gt;O271),"NAFLD",
IF(OR(P271&gt;1.2,Q271&gt;0.3),"Hyperbilirubinemia",
"Others"))))))))</f>
        <v>Normal</v>
      </c>
      <c r="AJ271" s="5">
        <v>7</v>
      </c>
      <c r="AK271" s="5" t="s">
        <v>34</v>
      </c>
    </row>
    <row r="272" spans="1:37" ht="43.2" x14ac:dyDescent="0.3">
      <c r="A272" s="5">
        <v>281</v>
      </c>
      <c r="B272" s="5" t="s">
        <v>39</v>
      </c>
      <c r="C272" s="5">
        <v>22</v>
      </c>
      <c r="D272" s="7">
        <v>1</v>
      </c>
      <c r="E272" s="5">
        <v>178</v>
      </c>
      <c r="F272" s="5">
        <v>55</v>
      </c>
      <c r="G272" s="6">
        <v>17.35891932836763</v>
      </c>
      <c r="H272" s="9" t="s">
        <v>43</v>
      </c>
      <c r="I272" s="5">
        <v>30</v>
      </c>
      <c r="J272" s="5" t="s">
        <v>44</v>
      </c>
      <c r="K272" s="5" t="s">
        <v>44</v>
      </c>
      <c r="L272" s="5" t="s">
        <v>44</v>
      </c>
      <c r="M272" s="5" t="s">
        <v>44</v>
      </c>
      <c r="N272" s="5">
        <v>17.7</v>
      </c>
      <c r="O272" s="5">
        <v>18.7</v>
      </c>
      <c r="P272" s="5">
        <v>1.1599999999999999</v>
      </c>
      <c r="Q272" s="5">
        <v>0.23</v>
      </c>
      <c r="R272" s="5">
        <v>0.93</v>
      </c>
      <c r="S272" s="8">
        <v>1.0564971751412429</v>
      </c>
      <c r="T272" s="5" t="s">
        <v>45</v>
      </c>
      <c r="U272" s="5" t="s">
        <v>56</v>
      </c>
      <c r="V272" s="5" t="s">
        <v>61</v>
      </c>
      <c r="W272" s="5" t="s">
        <v>65</v>
      </c>
      <c r="X272" s="5" t="s">
        <v>73</v>
      </c>
      <c r="Y272" s="5" t="s">
        <v>44</v>
      </c>
      <c r="Z272" s="5"/>
      <c r="AA272" s="5"/>
      <c r="AB272" s="9" t="s">
        <v>44</v>
      </c>
      <c r="AC272" s="2" t="s">
        <v>46</v>
      </c>
      <c r="AD272" s="2">
        <v>0</v>
      </c>
      <c r="AE272" s="2" t="s">
        <v>49</v>
      </c>
      <c r="AF272" s="2" t="str">
        <f t="shared" si="4"/>
        <v>Normal</v>
      </c>
      <c r="AG272" s="5">
        <v>0</v>
      </c>
      <c r="AH272" s="5" t="str">
        <f>IF(AG272=0,"Normal",
IF(AND(T272="Yes",S272&gt;=2),"ALD",
IF(AND(T272="Yes",S272&gt;=2,O272&gt;N272),"ALD",
IF(AND(T272="No",S272&gt;=2),"ALD",
IF(AND(G272&gt;=25,OR(T272="No",AND(T272="Yes",S272&lt;1))),"NAFLD",
IF(AND(N272&gt;O272,N272&gt;40,S272&lt;1),"NAFLD",
IF(AND(T272="Yes",S272&lt;1,G272&gt;=25,N272&gt;O272),"NAFLD",
IF(OR(P272&gt;1.2,Q272&gt;0.3),"Hyperbilirubinemia",
"Others"))))))))</f>
        <v>Normal</v>
      </c>
      <c r="AI272" s="5" t="str">
        <f>IF(AG272=0,"Normal",
IF(AND(T272="Yes",S272&gt;=2),"ALD (Confirmed)",
IF(AND(T272="Yes",S272&gt;=2,O272&gt;N272),"ALD (Confirmed)",
IF(AND(T272="No",S272&gt;=2),"ALD (Probable)",
IF(AND(G272&gt;=25,OR(T272="No",AND(T272="Yes",S272&lt;1))),"NAFLD",
IF(AND(N272&gt;O272,N272&gt;40,S272&lt;1),"NAFLD",
IF(AND(T272="Yes",S272&lt;1,G272&gt;=25,N272&gt;O272),"NAFLD",
IF(OR(P272&gt;1.2,Q272&gt;0.3),"Hyperbilirubinemia",
"Others"))))))))</f>
        <v>Normal</v>
      </c>
      <c r="AJ272" s="5">
        <v>14</v>
      </c>
      <c r="AK272" s="5" t="s">
        <v>34</v>
      </c>
    </row>
    <row r="273" spans="1:37" ht="43.2" x14ac:dyDescent="0.3">
      <c r="A273" s="5">
        <v>282</v>
      </c>
      <c r="B273" s="5" t="s">
        <v>40</v>
      </c>
      <c r="C273" s="5">
        <v>22</v>
      </c>
      <c r="D273" s="7">
        <v>1</v>
      </c>
      <c r="E273" s="5">
        <v>167</v>
      </c>
      <c r="F273" s="5">
        <v>69</v>
      </c>
      <c r="G273" s="6">
        <v>24.74</v>
      </c>
      <c r="H273" s="9" t="s">
        <v>33</v>
      </c>
      <c r="I273" s="5">
        <v>28</v>
      </c>
      <c r="J273" s="5" t="s">
        <v>44</v>
      </c>
      <c r="K273" s="5" t="s">
        <v>44</v>
      </c>
      <c r="L273" s="5" t="s">
        <v>44</v>
      </c>
      <c r="M273" s="5" t="s">
        <v>44</v>
      </c>
      <c r="N273" s="5">
        <v>11.8</v>
      </c>
      <c r="O273" s="5">
        <v>15.7</v>
      </c>
      <c r="P273" s="5">
        <v>0.46</v>
      </c>
      <c r="Q273" s="5">
        <v>0.12</v>
      </c>
      <c r="R273" s="5">
        <v>0.34</v>
      </c>
      <c r="S273" s="8">
        <v>1.330508474576271</v>
      </c>
      <c r="T273" s="5" t="s">
        <v>45</v>
      </c>
      <c r="U273" s="5" t="s">
        <v>56</v>
      </c>
      <c r="V273" s="5" t="s">
        <v>61</v>
      </c>
      <c r="W273" s="5" t="s">
        <v>65</v>
      </c>
      <c r="X273" s="5" t="s">
        <v>68</v>
      </c>
      <c r="Y273" s="5" t="s">
        <v>44</v>
      </c>
      <c r="Z273" s="5"/>
      <c r="AA273" s="5"/>
      <c r="AB273" s="9" t="s">
        <v>44</v>
      </c>
      <c r="AC273" s="2" t="s">
        <v>46</v>
      </c>
      <c r="AD273" s="2">
        <v>0</v>
      </c>
      <c r="AE273" s="2" t="s">
        <v>52</v>
      </c>
      <c r="AF273" s="2" t="str">
        <f t="shared" si="4"/>
        <v>Normal</v>
      </c>
      <c r="AG273" s="5">
        <v>0</v>
      </c>
      <c r="AH273" s="5" t="str">
        <f>IF(AG273=0,"Normal",
IF(AND(T273="Yes",S273&gt;=2),"ALD",
IF(AND(T273="Yes",S273&gt;=2,O273&gt;N273),"ALD",
IF(AND(T273="No",S273&gt;=2),"ALD",
IF(AND(G273&gt;=25,OR(T273="No",AND(T273="Yes",S273&lt;1))),"NAFLD",
IF(AND(N273&gt;O273,N273&gt;40,S273&lt;1),"NAFLD",
IF(AND(T273="Yes",S273&lt;1,G273&gt;=25,N273&gt;O273),"NAFLD",
IF(OR(P273&gt;1.2,Q273&gt;0.3),"Hyperbilirubinemia",
"Others"))))))))</f>
        <v>Normal</v>
      </c>
      <c r="AI273" s="5" t="str">
        <f>IF(AG273=0,"Normal",
IF(AND(T273="Yes",S273&gt;=2),"ALD (Confirmed)",
IF(AND(T273="Yes",S273&gt;=2,O273&gt;N273),"ALD (Confirmed)",
IF(AND(T273="No",S273&gt;=2),"ALD (Probable)",
IF(AND(G273&gt;=25,OR(T273="No",AND(T273="Yes",S273&lt;1))),"NAFLD",
IF(AND(N273&gt;O273,N273&gt;40,S273&lt;1),"NAFLD",
IF(AND(T273="Yes",S273&lt;1,G273&gt;=25,N273&gt;O273),"NAFLD",
IF(OR(P273&gt;1.2,Q273&gt;0.3),"Hyperbilirubinemia",
"Others"))))))))</f>
        <v>Normal</v>
      </c>
      <c r="AJ273" s="5">
        <v>13</v>
      </c>
      <c r="AK273" s="5" t="s">
        <v>34</v>
      </c>
    </row>
    <row r="274" spans="1:37" ht="43.2" x14ac:dyDescent="0.3">
      <c r="A274" s="5">
        <v>283</v>
      </c>
      <c r="B274" s="5" t="s">
        <v>39</v>
      </c>
      <c r="C274" s="5">
        <v>40</v>
      </c>
      <c r="D274" s="5">
        <v>10</v>
      </c>
      <c r="E274" s="5">
        <v>167</v>
      </c>
      <c r="F274" s="5">
        <v>69</v>
      </c>
      <c r="G274" s="6">
        <v>24.74</v>
      </c>
      <c r="H274" s="9" t="s">
        <v>33</v>
      </c>
      <c r="I274" s="5">
        <v>32</v>
      </c>
      <c r="J274" s="5" t="s">
        <v>44</v>
      </c>
      <c r="K274" s="5" t="s">
        <v>44</v>
      </c>
      <c r="L274" s="5" t="s">
        <v>44</v>
      </c>
      <c r="M274" s="5" t="s">
        <v>44</v>
      </c>
      <c r="N274" s="5">
        <v>27.94</v>
      </c>
      <c r="O274" s="5">
        <v>43.14</v>
      </c>
      <c r="P274" s="5">
        <v>0.62</v>
      </c>
      <c r="Q274" s="5">
        <v>0.11</v>
      </c>
      <c r="R274" s="5">
        <v>0.51</v>
      </c>
      <c r="S274" s="8">
        <v>1.5440229062276305</v>
      </c>
      <c r="T274" s="5" t="s">
        <v>44</v>
      </c>
      <c r="U274" s="5"/>
      <c r="V274" s="5"/>
      <c r="W274" s="5"/>
      <c r="X274" s="5"/>
      <c r="Y274" s="5" t="s">
        <v>44</v>
      </c>
      <c r="Z274" s="5"/>
      <c r="AA274" s="5"/>
      <c r="AB274" s="9" t="s">
        <v>44</v>
      </c>
      <c r="AC274" s="2" t="s">
        <v>46</v>
      </c>
      <c r="AD274" s="2">
        <v>0</v>
      </c>
      <c r="AE274" s="2" t="s">
        <v>49</v>
      </c>
      <c r="AF274" s="2" t="str">
        <f t="shared" si="4"/>
        <v>Abnormal</v>
      </c>
      <c r="AG274" s="5">
        <v>1</v>
      </c>
      <c r="AH274" s="5" t="str">
        <f>IF(AG274=0,"Normal",
IF(AND(T274="Yes",S274&gt;=2),"ALD",
IF(AND(T274="Yes",S274&gt;=2,O274&gt;N274),"ALD",
IF(AND(T274="No",S274&gt;=2),"ALD",
IF(AND(G274&gt;=25,OR(T274="No",AND(T274="Yes",S274&lt;1))),"NAFLD",
IF(AND(N274&gt;O274,N274&gt;40,S274&lt;1),"NAFLD",
IF(AND(T274="Yes",S274&lt;1,G274&gt;=25,N274&gt;O274),"NAFLD",
IF(OR(P274&gt;1.2,Q274&gt;0.3),"Hyperbilirubinemia",
"Others"))))))))</f>
        <v>Others</v>
      </c>
      <c r="AI274" s="5" t="str">
        <f>IF(AG274=0,"Normal",
IF(AND(T274="Yes",S274&gt;=2),"ALD (Confirmed)",
IF(AND(T274="Yes",S274&gt;=2,O274&gt;N274),"ALD (Confirmed)",
IF(AND(T274="No",S274&gt;=2),"ALD (Probable)",
IF(AND(G274&gt;=25,OR(T274="No",AND(T274="Yes",S274&lt;1))),"NAFLD",
IF(AND(N274&gt;O274,N274&gt;40,S274&lt;1),"NAFLD",
IF(AND(T274="Yes",S274&lt;1,G274&gt;=25,N274&gt;O274),"NAFLD",
IF(OR(P274&gt;1.2,Q274&gt;0.3),"Hyperbilirubinemia",
"Others"))))))))</f>
        <v>Others</v>
      </c>
      <c r="AJ274" s="5">
        <v>10</v>
      </c>
      <c r="AK274" s="5" t="s">
        <v>34</v>
      </c>
    </row>
    <row r="275" spans="1:37" ht="43.2" x14ac:dyDescent="0.3">
      <c r="A275" s="5">
        <v>284</v>
      </c>
      <c r="B275" s="5" t="s">
        <v>39</v>
      </c>
      <c r="C275" s="5">
        <v>35</v>
      </c>
      <c r="D275" s="5">
        <v>10</v>
      </c>
      <c r="E275" s="5">
        <v>167</v>
      </c>
      <c r="F275" s="5">
        <v>69</v>
      </c>
      <c r="G275" s="6">
        <v>24.74</v>
      </c>
      <c r="H275" s="9" t="s">
        <v>33</v>
      </c>
      <c r="I275" s="5">
        <v>32</v>
      </c>
      <c r="J275" s="5" t="s">
        <v>44</v>
      </c>
      <c r="K275" s="5" t="s">
        <v>44</v>
      </c>
      <c r="L275" s="5" t="s">
        <v>44</v>
      </c>
      <c r="M275" s="5" t="s">
        <v>44</v>
      </c>
      <c r="N275" s="5">
        <v>29.5</v>
      </c>
      <c r="O275" s="5">
        <v>38.299999999999997</v>
      </c>
      <c r="P275" s="5">
        <v>0.42</v>
      </c>
      <c r="Q275" s="5">
        <v>0.06</v>
      </c>
      <c r="R275" s="5">
        <v>0.36</v>
      </c>
      <c r="S275" s="8">
        <v>1.2983050847457627</v>
      </c>
      <c r="T275" s="5" t="s">
        <v>44</v>
      </c>
      <c r="U275" s="5"/>
      <c r="V275" s="5"/>
      <c r="W275" s="5"/>
      <c r="X275" s="5"/>
      <c r="Y275" s="5" t="s">
        <v>44</v>
      </c>
      <c r="Z275" s="5"/>
      <c r="AA275" s="5"/>
      <c r="AB275" s="9" t="s">
        <v>44</v>
      </c>
      <c r="AC275" s="2" t="s">
        <v>46</v>
      </c>
      <c r="AD275" s="2">
        <v>0</v>
      </c>
      <c r="AE275" s="2" t="s">
        <v>49</v>
      </c>
      <c r="AF275" s="2" t="str">
        <f t="shared" si="4"/>
        <v>Normal</v>
      </c>
      <c r="AG275" s="5">
        <v>0</v>
      </c>
      <c r="AH275" s="5" t="str">
        <f>IF(AG275=0,"Normal",
IF(AND(T275="Yes",S275&gt;=2),"ALD",
IF(AND(T275="Yes",S275&gt;=2,O275&gt;N275),"ALD",
IF(AND(T275="No",S275&gt;=2),"ALD",
IF(AND(G275&gt;=25,OR(T275="No",AND(T275="Yes",S275&lt;1))),"NAFLD",
IF(AND(N275&gt;O275,N275&gt;40,S275&lt;1),"NAFLD",
IF(AND(T275="Yes",S275&lt;1,G275&gt;=25,N275&gt;O275),"NAFLD",
IF(OR(P275&gt;1.2,Q275&gt;0.3),"Hyperbilirubinemia",
"Others"))))))))</f>
        <v>Normal</v>
      </c>
      <c r="AI275" s="5" t="str">
        <f>IF(AG275=0,"Normal",
IF(AND(T275="Yes",S275&gt;=2),"ALD (Confirmed)",
IF(AND(T275="Yes",S275&gt;=2,O275&gt;N275),"ALD (Confirmed)",
IF(AND(T275="No",S275&gt;=2),"ALD (Probable)",
IF(AND(G275&gt;=25,OR(T275="No",AND(T275="Yes",S275&lt;1))),"NAFLD",
IF(AND(N275&gt;O275,N275&gt;40,S275&lt;1),"NAFLD",
IF(AND(T275="Yes",S275&lt;1,G275&gt;=25,N275&gt;O275),"NAFLD",
IF(OR(P275&gt;1.2,Q275&gt;0.3),"Hyperbilirubinemia",
"Others"))))))))</f>
        <v>Normal</v>
      </c>
      <c r="AJ275" s="5">
        <v>7</v>
      </c>
      <c r="AK275" s="5" t="s">
        <v>34</v>
      </c>
    </row>
    <row r="276" spans="1:37" ht="43.2" x14ac:dyDescent="0.3">
      <c r="A276" s="5">
        <v>285</v>
      </c>
      <c r="B276" s="5" t="s">
        <v>39</v>
      </c>
      <c r="C276" s="5">
        <v>37</v>
      </c>
      <c r="D276" s="5">
        <v>10</v>
      </c>
      <c r="E276" s="5">
        <v>167</v>
      </c>
      <c r="F276" s="5">
        <v>69</v>
      </c>
      <c r="G276" s="6">
        <v>24.74</v>
      </c>
      <c r="H276" s="9" t="s">
        <v>33</v>
      </c>
      <c r="I276" s="5">
        <v>32</v>
      </c>
      <c r="J276" s="5" t="s">
        <v>44</v>
      </c>
      <c r="K276" s="5" t="s">
        <v>44</v>
      </c>
      <c r="L276" s="5" t="s">
        <v>44</v>
      </c>
      <c r="M276" s="5" t="s">
        <v>44</v>
      </c>
      <c r="N276" s="5">
        <v>51.2</v>
      </c>
      <c r="O276" s="5">
        <v>44</v>
      </c>
      <c r="P276" s="5">
        <v>0.7</v>
      </c>
      <c r="Q276" s="5">
        <v>0.1</v>
      </c>
      <c r="R276" s="5">
        <v>0.6</v>
      </c>
      <c r="S276" s="8">
        <v>0.859375</v>
      </c>
      <c r="T276" s="5" t="s">
        <v>44</v>
      </c>
      <c r="U276" s="5"/>
      <c r="V276" s="5"/>
      <c r="W276" s="5"/>
      <c r="X276" s="5"/>
      <c r="Y276" s="5" t="s">
        <v>44</v>
      </c>
      <c r="Z276" s="5"/>
      <c r="AA276" s="5"/>
      <c r="AB276" s="9" t="s">
        <v>44</v>
      </c>
      <c r="AC276" s="2" t="s">
        <v>46</v>
      </c>
      <c r="AD276" s="2">
        <v>0</v>
      </c>
      <c r="AE276" s="2" t="s">
        <v>49</v>
      </c>
      <c r="AF276" s="2" t="str">
        <f t="shared" si="4"/>
        <v>Abnormal</v>
      </c>
      <c r="AG276" s="5">
        <v>1</v>
      </c>
      <c r="AH276" s="5" t="str">
        <f>IF(AG276=0,"Normal",
IF(AND(T276="Yes",S276&gt;=2),"ALD",
IF(AND(T276="Yes",S276&gt;=2,O276&gt;N276),"ALD",
IF(AND(T276="No",S276&gt;=2),"ALD",
IF(AND(G276&gt;=25,OR(T276="No",AND(T276="Yes",S276&lt;1))),"NAFLD",
IF(AND(N276&gt;O276,N276&gt;40,S276&lt;1),"NAFLD",
IF(AND(T276="Yes",S276&lt;1,G276&gt;=25,N276&gt;O276),"NAFLD",
IF(OR(P276&gt;1.2,Q276&gt;0.3),"Hyperbilirubinemia",
"Others"))))))))</f>
        <v>NAFLD</v>
      </c>
      <c r="AI276" s="5" t="str">
        <f>IF(AG276=0,"Normal",
IF(AND(T276="Yes",S276&gt;=2),"ALD (Confirmed)",
IF(AND(T276="Yes",S276&gt;=2,O276&gt;N276),"ALD (Confirmed)",
IF(AND(T276="No",S276&gt;=2),"ALD (Probable)",
IF(AND(G276&gt;=25,OR(T276="No",AND(T276="Yes",S276&lt;1))),"NAFLD",
IF(AND(N276&gt;O276,N276&gt;40,S276&lt;1),"NAFLD",
IF(AND(T276="Yes",S276&lt;1,G276&gt;=25,N276&gt;O276),"NAFLD",
IF(OR(P276&gt;1.2,Q276&gt;0.3),"Hyperbilirubinemia",
"Others"))))))))</f>
        <v>NAFLD</v>
      </c>
      <c r="AJ276" s="5">
        <v>13</v>
      </c>
      <c r="AK276" s="5" t="s">
        <v>34</v>
      </c>
    </row>
    <row r="277" spans="1:37" ht="43.2" x14ac:dyDescent="0.3">
      <c r="A277" s="5">
        <v>286</v>
      </c>
      <c r="B277" s="5" t="s">
        <v>39</v>
      </c>
      <c r="C277" s="5">
        <v>36</v>
      </c>
      <c r="D277" s="5">
        <v>10</v>
      </c>
      <c r="E277" s="5">
        <v>167</v>
      </c>
      <c r="F277" s="5">
        <v>69</v>
      </c>
      <c r="G277" s="6">
        <v>24.74</v>
      </c>
      <c r="H277" s="9" t="s">
        <v>33</v>
      </c>
      <c r="I277" s="5">
        <v>32</v>
      </c>
      <c r="J277" s="5" t="s">
        <v>44</v>
      </c>
      <c r="K277" s="5" t="s">
        <v>44</v>
      </c>
      <c r="L277" s="5" t="s">
        <v>44</v>
      </c>
      <c r="M277" s="5" t="s">
        <v>44</v>
      </c>
      <c r="N277" s="5">
        <v>25.53</v>
      </c>
      <c r="O277" s="5">
        <v>29.13</v>
      </c>
      <c r="P277" s="5">
        <v>0.44</v>
      </c>
      <c r="Q277" s="5">
        <v>0.1</v>
      </c>
      <c r="R277" s="5">
        <v>0.34</v>
      </c>
      <c r="S277" s="8">
        <v>1.1410105757931843</v>
      </c>
      <c r="T277" s="5" t="s">
        <v>44</v>
      </c>
      <c r="U277" s="5"/>
      <c r="V277" s="5"/>
      <c r="W277" s="5"/>
      <c r="X277" s="5"/>
      <c r="Y277" s="5" t="s">
        <v>44</v>
      </c>
      <c r="Z277" s="5"/>
      <c r="AA277" s="5"/>
      <c r="AB277" s="9" t="s">
        <v>44</v>
      </c>
      <c r="AC277" s="2" t="s">
        <v>46</v>
      </c>
      <c r="AD277" s="2">
        <v>0</v>
      </c>
      <c r="AE277" s="2" t="s">
        <v>49</v>
      </c>
      <c r="AF277" s="2" t="str">
        <f t="shared" si="4"/>
        <v>Normal</v>
      </c>
      <c r="AG277" s="5">
        <v>0</v>
      </c>
      <c r="AH277" s="5" t="str">
        <f>IF(AG277=0,"Normal",
IF(AND(T277="Yes",S277&gt;=2),"ALD",
IF(AND(T277="Yes",S277&gt;=2,O277&gt;N277),"ALD",
IF(AND(T277="No",S277&gt;=2),"ALD",
IF(AND(G277&gt;=25,OR(T277="No",AND(T277="Yes",S277&lt;1))),"NAFLD",
IF(AND(N277&gt;O277,N277&gt;40,S277&lt;1),"NAFLD",
IF(AND(T277="Yes",S277&lt;1,G277&gt;=25,N277&gt;O277),"NAFLD",
IF(OR(P277&gt;1.2,Q277&gt;0.3),"Hyperbilirubinemia",
"Others"))))))))</f>
        <v>Normal</v>
      </c>
      <c r="AI277" s="5" t="str">
        <f>IF(AG277=0,"Normal",
IF(AND(T277="Yes",S277&gt;=2),"ALD (Confirmed)",
IF(AND(T277="Yes",S277&gt;=2,O277&gt;N277),"ALD (Confirmed)",
IF(AND(T277="No",S277&gt;=2),"ALD (Probable)",
IF(AND(G277&gt;=25,OR(T277="No",AND(T277="Yes",S277&lt;1))),"NAFLD",
IF(AND(N277&gt;O277,N277&gt;40,S277&lt;1),"NAFLD",
IF(AND(T277="Yes",S277&lt;1,G277&gt;=25,N277&gt;O277),"NAFLD",
IF(OR(P277&gt;1.2,Q277&gt;0.3),"Hyperbilirubinemia",
"Others"))))))))</f>
        <v>Normal</v>
      </c>
      <c r="AJ277" s="5">
        <v>7</v>
      </c>
      <c r="AK277" s="5" t="s">
        <v>34</v>
      </c>
    </row>
    <row r="278" spans="1:37" ht="43.2" x14ac:dyDescent="0.3">
      <c r="A278" s="5">
        <v>287</v>
      </c>
      <c r="B278" s="5" t="s">
        <v>39</v>
      </c>
      <c r="C278" s="5">
        <v>36</v>
      </c>
      <c r="D278" s="5">
        <v>10</v>
      </c>
      <c r="E278" s="5">
        <v>167</v>
      </c>
      <c r="F278" s="5">
        <v>69</v>
      </c>
      <c r="G278" s="6">
        <v>24.74</v>
      </c>
      <c r="H278" s="9" t="s">
        <v>33</v>
      </c>
      <c r="I278" s="5">
        <v>32</v>
      </c>
      <c r="J278" s="5" t="s">
        <v>44</v>
      </c>
      <c r="K278" s="5" t="s">
        <v>44</v>
      </c>
      <c r="L278" s="5" t="s">
        <v>44</v>
      </c>
      <c r="M278" s="5" t="s">
        <v>44</v>
      </c>
      <c r="N278" s="5">
        <v>23.1</v>
      </c>
      <c r="O278" s="5">
        <v>26.3</v>
      </c>
      <c r="P278" s="5">
        <v>0.97</v>
      </c>
      <c r="Q278" s="5">
        <v>0.4</v>
      </c>
      <c r="R278" s="5">
        <v>0.56999999999999995</v>
      </c>
      <c r="S278" s="8">
        <v>1.1385281385281385</v>
      </c>
      <c r="T278" s="5" t="s">
        <v>44</v>
      </c>
      <c r="U278" s="5"/>
      <c r="V278" s="5"/>
      <c r="W278" s="5"/>
      <c r="X278" s="5"/>
      <c r="Y278" s="5" t="s">
        <v>44</v>
      </c>
      <c r="Z278" s="5"/>
      <c r="AA278" s="5"/>
      <c r="AB278" s="9" t="s">
        <v>44</v>
      </c>
      <c r="AC278" s="2" t="s">
        <v>46</v>
      </c>
      <c r="AD278" s="2">
        <v>0</v>
      </c>
      <c r="AE278" s="2" t="s">
        <v>49</v>
      </c>
      <c r="AF278" s="2" t="str">
        <f t="shared" si="4"/>
        <v>Abnormal</v>
      </c>
      <c r="AG278" s="5">
        <v>1</v>
      </c>
      <c r="AH278" s="5" t="str">
        <f>IF(AG278=0,"Normal",
IF(AND(T278="Yes",S278&gt;=2),"ALD",
IF(AND(T278="Yes",S278&gt;=2,O278&gt;N278),"ALD",
IF(AND(T278="No",S278&gt;=2),"ALD",
IF(AND(G278&gt;=25,OR(T278="No",AND(T278="Yes",S278&lt;1))),"NAFLD",
IF(AND(N278&gt;O278,N278&gt;40,S278&lt;1),"NAFLD",
IF(AND(T278="Yes",S278&lt;1,G278&gt;=25,N278&gt;O278),"NAFLD",
IF(OR(P278&gt;1.2,Q278&gt;0.3),"Hyperbilirubinemia",
"Others"))))))))</f>
        <v>Hyperbilirubinemia</v>
      </c>
      <c r="AI278" s="5" t="str">
        <f>IF(AG278=0,"Normal",
IF(AND(T278="Yes",S278&gt;=2),"ALD (Confirmed)",
IF(AND(T278="Yes",S278&gt;=2,O278&gt;N278),"ALD (Confirmed)",
IF(AND(T278="No",S278&gt;=2),"ALD (Probable)",
IF(AND(G278&gt;=25,OR(T278="No",AND(T278="Yes",S278&lt;1))),"NAFLD",
IF(AND(N278&gt;O278,N278&gt;40,S278&lt;1),"NAFLD",
IF(AND(T278="Yes",S278&lt;1,G278&gt;=25,N278&gt;O278),"NAFLD",
IF(OR(P278&gt;1.2,Q278&gt;0.3),"Hyperbilirubinemia",
"Others"))))))))</f>
        <v>Hyperbilirubinemia</v>
      </c>
      <c r="AJ278" s="5">
        <v>9</v>
      </c>
      <c r="AK278" s="5" t="s">
        <v>34</v>
      </c>
    </row>
    <row r="279" spans="1:37" ht="43.2" x14ac:dyDescent="0.3">
      <c r="A279" s="5">
        <v>288</v>
      </c>
      <c r="B279" s="5" t="s">
        <v>40</v>
      </c>
      <c r="C279" s="5">
        <v>36</v>
      </c>
      <c r="D279" s="5">
        <v>10</v>
      </c>
      <c r="E279" s="5">
        <v>167</v>
      </c>
      <c r="F279" s="5">
        <v>69</v>
      </c>
      <c r="G279" s="6">
        <v>24.74</v>
      </c>
      <c r="H279" s="9" t="s">
        <v>33</v>
      </c>
      <c r="I279" s="5">
        <v>32</v>
      </c>
      <c r="J279" s="5" t="s">
        <v>44</v>
      </c>
      <c r="K279" s="5" t="s">
        <v>44</v>
      </c>
      <c r="L279" s="5" t="s">
        <v>44</v>
      </c>
      <c r="M279" s="5" t="s">
        <v>44</v>
      </c>
      <c r="N279" s="5">
        <v>32.1</v>
      </c>
      <c r="O279" s="5">
        <v>38.6</v>
      </c>
      <c r="P279" s="5">
        <v>1.9</v>
      </c>
      <c r="Q279" s="5">
        <v>0.9</v>
      </c>
      <c r="R279" s="5">
        <v>1</v>
      </c>
      <c r="S279" s="8">
        <v>1.2024922118380061</v>
      </c>
      <c r="T279" s="5" t="s">
        <v>44</v>
      </c>
      <c r="U279" s="5"/>
      <c r="V279" s="5"/>
      <c r="W279" s="5"/>
      <c r="X279" s="5"/>
      <c r="Y279" s="5" t="s">
        <v>44</v>
      </c>
      <c r="Z279" s="5"/>
      <c r="AA279" s="5"/>
      <c r="AB279" s="9" t="s">
        <v>44</v>
      </c>
      <c r="AC279" s="2" t="s">
        <v>46</v>
      </c>
      <c r="AD279" s="2">
        <v>0</v>
      </c>
      <c r="AE279" s="2" t="s">
        <v>49</v>
      </c>
      <c r="AF279" s="2" t="str">
        <f t="shared" si="4"/>
        <v>Abnormal</v>
      </c>
      <c r="AG279" s="5">
        <v>1</v>
      </c>
      <c r="AH279" s="5" t="str">
        <f>IF(AG279=0,"Normal",
IF(AND(T279="Yes",S279&gt;=2),"ALD",
IF(AND(T279="Yes",S279&gt;=2,O279&gt;N279),"ALD",
IF(AND(T279="No",S279&gt;=2),"ALD",
IF(AND(G279&gt;=25,OR(T279="No",AND(T279="Yes",S279&lt;1))),"NAFLD",
IF(AND(N279&gt;O279,N279&gt;40,S279&lt;1),"NAFLD",
IF(AND(T279="Yes",S279&lt;1,G279&gt;=25,N279&gt;O279),"NAFLD",
IF(OR(P279&gt;1.2,Q279&gt;0.3),"Hyperbilirubinemia",
"Others"))))))))</f>
        <v>Hyperbilirubinemia</v>
      </c>
      <c r="AI279" s="5" t="str">
        <f>IF(AG279=0,"Normal",
IF(AND(T279="Yes",S279&gt;=2),"ALD (Confirmed)",
IF(AND(T279="Yes",S279&gt;=2,O279&gt;N279),"ALD (Confirmed)",
IF(AND(T279="No",S279&gt;=2),"ALD (Probable)",
IF(AND(G279&gt;=25,OR(T279="No",AND(T279="Yes",S279&lt;1))),"NAFLD",
IF(AND(N279&gt;O279,N279&gt;40,S279&lt;1),"NAFLD",
IF(AND(T279="Yes",S279&lt;1,G279&gt;=25,N279&gt;O279),"NAFLD",
IF(OR(P279&gt;1.2,Q279&gt;0.3),"Hyperbilirubinemia",
"Others"))))))))</f>
        <v>Hyperbilirubinemia</v>
      </c>
      <c r="AJ279" s="5">
        <v>11</v>
      </c>
      <c r="AK279" s="5" t="s">
        <v>34</v>
      </c>
    </row>
    <row r="280" spans="1:37" ht="43.2" x14ac:dyDescent="0.3">
      <c r="A280" s="5">
        <v>289</v>
      </c>
      <c r="B280" s="5" t="s">
        <v>39</v>
      </c>
      <c r="C280" s="5">
        <v>36</v>
      </c>
      <c r="D280" s="5">
        <v>10</v>
      </c>
      <c r="E280" s="5">
        <v>167</v>
      </c>
      <c r="F280" s="5">
        <v>69</v>
      </c>
      <c r="G280" s="6">
        <v>24.74</v>
      </c>
      <c r="H280" s="9" t="s">
        <v>33</v>
      </c>
      <c r="I280" s="5">
        <v>32</v>
      </c>
      <c r="J280" s="5" t="s">
        <v>44</v>
      </c>
      <c r="K280" s="5" t="s">
        <v>44</v>
      </c>
      <c r="L280" s="5" t="s">
        <v>44</v>
      </c>
      <c r="M280" s="5" t="s">
        <v>44</v>
      </c>
      <c r="N280" s="5">
        <v>22.3</v>
      </c>
      <c r="O280" s="5">
        <v>26.9</v>
      </c>
      <c r="P280" s="5">
        <v>0.89</v>
      </c>
      <c r="Q280" s="5">
        <v>0.39</v>
      </c>
      <c r="R280" s="5">
        <v>0.5</v>
      </c>
      <c r="S280" s="8">
        <v>1.2062780269058295</v>
      </c>
      <c r="T280" s="5" t="s">
        <v>44</v>
      </c>
      <c r="U280" s="5"/>
      <c r="V280" s="5"/>
      <c r="W280" s="5"/>
      <c r="X280" s="5"/>
      <c r="Y280" s="5" t="s">
        <v>44</v>
      </c>
      <c r="Z280" s="5"/>
      <c r="AA280" s="5"/>
      <c r="AB280" s="9" t="s">
        <v>44</v>
      </c>
      <c r="AC280" s="2" t="s">
        <v>46</v>
      </c>
      <c r="AD280" s="2">
        <v>0</v>
      </c>
      <c r="AE280" s="2" t="s">
        <v>49</v>
      </c>
      <c r="AF280" s="2" t="str">
        <f t="shared" si="4"/>
        <v>Abnormal</v>
      </c>
      <c r="AG280" s="5">
        <v>1</v>
      </c>
      <c r="AH280" s="5" t="str">
        <f>IF(AG280=0,"Normal",
IF(AND(T280="Yes",S280&gt;=2),"ALD",
IF(AND(T280="Yes",S280&gt;=2,O280&gt;N280),"ALD",
IF(AND(T280="No",S280&gt;=2),"ALD",
IF(AND(G280&gt;=25,OR(T280="No",AND(T280="Yes",S280&lt;1))),"NAFLD",
IF(AND(N280&gt;O280,N280&gt;40,S280&lt;1),"NAFLD",
IF(AND(T280="Yes",S280&lt;1,G280&gt;=25,N280&gt;O280),"NAFLD",
IF(OR(P280&gt;1.2,Q280&gt;0.3),"Hyperbilirubinemia",
"Others"))))))))</f>
        <v>Hyperbilirubinemia</v>
      </c>
      <c r="AI280" s="5" t="str">
        <f>IF(AG280=0,"Normal",
IF(AND(T280="Yes",S280&gt;=2),"ALD (Confirmed)",
IF(AND(T280="Yes",S280&gt;=2,O280&gt;N280),"ALD (Confirmed)",
IF(AND(T280="No",S280&gt;=2),"ALD (Probable)",
IF(AND(G280&gt;=25,OR(T280="No",AND(T280="Yes",S280&lt;1))),"NAFLD",
IF(AND(N280&gt;O280,N280&gt;40,S280&lt;1),"NAFLD",
IF(AND(T280="Yes",S280&lt;1,G280&gt;=25,N280&gt;O280),"NAFLD",
IF(OR(P280&gt;1.2,Q280&gt;0.3),"Hyperbilirubinemia",
"Others"))))))))</f>
        <v>Hyperbilirubinemia</v>
      </c>
      <c r="AJ280" s="5">
        <v>9</v>
      </c>
      <c r="AK280" s="5" t="s">
        <v>34</v>
      </c>
    </row>
    <row r="281" spans="1:37" ht="43.2" x14ac:dyDescent="0.3">
      <c r="A281" s="5">
        <v>290</v>
      </c>
      <c r="B281" s="5" t="s">
        <v>40</v>
      </c>
      <c r="C281" s="5">
        <v>22</v>
      </c>
      <c r="D281" s="7">
        <v>1</v>
      </c>
      <c r="E281" s="5">
        <v>167</v>
      </c>
      <c r="F281" s="5">
        <v>69</v>
      </c>
      <c r="G281" s="6">
        <v>24.74</v>
      </c>
      <c r="H281" s="9" t="s">
        <v>33</v>
      </c>
      <c r="I281" s="5">
        <v>28</v>
      </c>
      <c r="J281" s="5" t="s">
        <v>44</v>
      </c>
      <c r="K281" s="5" t="s">
        <v>44</v>
      </c>
      <c r="L281" s="5" t="s">
        <v>44</v>
      </c>
      <c r="M281" s="5" t="s">
        <v>44</v>
      </c>
      <c r="N281" s="5">
        <v>31.9</v>
      </c>
      <c r="O281" s="5">
        <v>27.4</v>
      </c>
      <c r="P281" s="5">
        <v>1.4</v>
      </c>
      <c r="Q281" s="5">
        <v>0.3</v>
      </c>
      <c r="R281" s="5">
        <v>1.1000000000000001</v>
      </c>
      <c r="S281" s="8">
        <v>0.85893416927899691</v>
      </c>
      <c r="T281" s="5" t="s">
        <v>45</v>
      </c>
      <c r="U281" s="5"/>
      <c r="V281" s="5"/>
      <c r="W281" s="5"/>
      <c r="X281" s="5"/>
      <c r="Y281" s="5" t="s">
        <v>44</v>
      </c>
      <c r="Z281" s="5"/>
      <c r="AA281" s="5"/>
      <c r="AB281" s="9" t="s">
        <v>44</v>
      </c>
      <c r="AC281" s="2" t="s">
        <v>46</v>
      </c>
      <c r="AD281" s="2">
        <v>0</v>
      </c>
      <c r="AE281" s="2" t="s">
        <v>49</v>
      </c>
      <c r="AF281" s="2" t="str">
        <f t="shared" si="4"/>
        <v>Normal</v>
      </c>
      <c r="AG281" s="5">
        <v>0</v>
      </c>
      <c r="AH281" s="5" t="str">
        <f>IF(AG281=0,"Normal",
IF(AND(T281="Yes",S281&gt;=2),"ALD",
IF(AND(T281="Yes",S281&gt;=2,O281&gt;N281),"ALD",
IF(AND(T281="No",S281&gt;=2),"ALD",
IF(AND(G281&gt;=25,OR(T281="No",AND(T281="Yes",S281&lt;1))),"NAFLD",
IF(AND(N281&gt;O281,N281&gt;40,S281&lt;1),"NAFLD",
IF(AND(T281="Yes",S281&lt;1,G281&gt;=25,N281&gt;O281),"NAFLD",
IF(OR(P281&gt;1.2,Q281&gt;0.3),"Hyperbilirubinemia",
"Others"))))))))</f>
        <v>Normal</v>
      </c>
      <c r="AI281" s="5" t="str">
        <f>IF(AG281=0,"Normal",
IF(AND(T281="Yes",S281&gt;=2),"ALD (Confirmed)",
IF(AND(T281="Yes",S281&gt;=2,O281&gt;N281),"ALD (Confirmed)",
IF(AND(T281="No",S281&gt;=2),"ALD (Probable)",
IF(AND(G281&gt;=25,OR(T281="No",AND(T281="Yes",S281&lt;1))),"NAFLD",
IF(AND(N281&gt;O281,N281&gt;40,S281&lt;1),"NAFLD",
IF(AND(T281="Yes",S281&lt;1,G281&gt;=25,N281&gt;O281),"NAFLD",
IF(OR(P281&gt;1.2,Q281&gt;0.3),"Hyperbilirubinemia",
"Others"))))))))</f>
        <v>Normal</v>
      </c>
      <c r="AJ281" s="5">
        <v>15</v>
      </c>
      <c r="AK281" s="5" t="s">
        <v>34</v>
      </c>
    </row>
    <row r="282" spans="1:37" ht="43.2" x14ac:dyDescent="0.3">
      <c r="A282" s="5">
        <v>291</v>
      </c>
      <c r="B282" s="5" t="s">
        <v>39</v>
      </c>
      <c r="C282" s="5">
        <v>56</v>
      </c>
      <c r="D282" s="7">
        <v>28</v>
      </c>
      <c r="E282" s="5">
        <v>167</v>
      </c>
      <c r="F282" s="5">
        <v>69</v>
      </c>
      <c r="G282" s="6">
        <v>24.74</v>
      </c>
      <c r="H282" s="9" t="s">
        <v>33</v>
      </c>
      <c r="I282" s="7">
        <v>32</v>
      </c>
      <c r="J282" s="5" t="s">
        <v>44</v>
      </c>
      <c r="K282" s="5" t="s">
        <v>44</v>
      </c>
      <c r="L282" s="5" t="s">
        <v>44</v>
      </c>
      <c r="M282" s="5" t="s">
        <v>44</v>
      </c>
      <c r="N282" s="5">
        <v>28.7</v>
      </c>
      <c r="O282" s="5">
        <v>26.9</v>
      </c>
      <c r="P282" s="5">
        <v>0.25</v>
      </c>
      <c r="Q282" s="5">
        <v>0.06</v>
      </c>
      <c r="R282" s="5">
        <v>0.19</v>
      </c>
      <c r="S282" s="8">
        <v>0.93728222996515675</v>
      </c>
      <c r="T282" s="5" t="s">
        <v>44</v>
      </c>
      <c r="U282" s="5"/>
      <c r="V282" s="5"/>
      <c r="W282" s="5"/>
      <c r="X282" s="5"/>
      <c r="Y282" s="5" t="s">
        <v>44</v>
      </c>
      <c r="Z282" s="5"/>
      <c r="AA282" s="5"/>
      <c r="AB282" s="9" t="s">
        <v>44</v>
      </c>
      <c r="AC282" s="2" t="s">
        <v>46</v>
      </c>
      <c r="AD282" s="2">
        <v>0</v>
      </c>
      <c r="AE282" s="2" t="s">
        <v>49</v>
      </c>
      <c r="AF282" s="2" t="str">
        <f t="shared" si="4"/>
        <v>Normal</v>
      </c>
      <c r="AG282" s="5">
        <v>0</v>
      </c>
      <c r="AH282" s="5" t="str">
        <f>IF(AG282=0,"Normal",
IF(AND(T282="Yes",S282&gt;=2),"ALD",
IF(AND(T282="Yes",S282&gt;=2,O282&gt;N282),"ALD",
IF(AND(T282="No",S282&gt;=2),"ALD",
IF(AND(G282&gt;=25,OR(T282="No",AND(T282="Yes",S282&lt;1))),"NAFLD",
IF(AND(N282&gt;O282,N282&gt;40,S282&lt;1),"NAFLD",
IF(AND(T282="Yes",S282&lt;1,G282&gt;=25,N282&gt;O282),"NAFLD",
IF(OR(P282&gt;1.2,Q282&gt;0.3),"Hyperbilirubinemia",
"Others"))))))))</f>
        <v>Normal</v>
      </c>
      <c r="AI282" s="5" t="str">
        <f>IF(AG282=0,"Normal",
IF(AND(T282="Yes",S282&gt;=2),"ALD (Confirmed)",
IF(AND(T282="Yes",S282&gt;=2,O282&gt;N282),"ALD (Confirmed)",
IF(AND(T282="No",S282&gt;=2),"ALD (Probable)",
IF(AND(G282&gt;=25,OR(T282="No",AND(T282="Yes",S282&lt;1))),"NAFLD",
IF(AND(N282&gt;O282,N282&gt;40,S282&lt;1),"NAFLD",
IF(AND(T282="Yes",S282&lt;1,G282&gt;=25,N282&gt;O282),"NAFLD",
IF(OR(P282&gt;1.2,Q282&gt;0.3),"Hyperbilirubinemia",
"Others"))))))))</f>
        <v>Normal</v>
      </c>
      <c r="AJ282" s="5">
        <v>10</v>
      </c>
      <c r="AK282" s="5" t="s">
        <v>34</v>
      </c>
    </row>
    <row r="283" spans="1:37" ht="43.2" x14ac:dyDescent="0.3">
      <c r="A283" s="5">
        <v>292</v>
      </c>
      <c r="B283" s="5" t="s">
        <v>40</v>
      </c>
      <c r="C283" s="5">
        <v>28</v>
      </c>
      <c r="D283" s="7">
        <v>3</v>
      </c>
      <c r="E283" s="5">
        <v>167</v>
      </c>
      <c r="F283" s="5">
        <v>69</v>
      </c>
      <c r="G283" s="6">
        <v>24.74</v>
      </c>
      <c r="H283" s="9" t="s">
        <v>33</v>
      </c>
      <c r="I283" s="7">
        <v>32</v>
      </c>
      <c r="J283" s="5" t="s">
        <v>44</v>
      </c>
      <c r="K283" s="5" t="s">
        <v>44</v>
      </c>
      <c r="L283" s="5" t="s">
        <v>44</v>
      </c>
      <c r="M283" s="5" t="s">
        <v>44</v>
      </c>
      <c r="N283" s="5">
        <v>59.5</v>
      </c>
      <c r="O283" s="5">
        <v>46.1</v>
      </c>
      <c r="P283" s="5">
        <v>0.34</v>
      </c>
      <c r="Q283" s="5">
        <v>0.12</v>
      </c>
      <c r="R283" s="5">
        <v>0.22</v>
      </c>
      <c r="S283" s="8">
        <v>0.77478991596638658</v>
      </c>
      <c r="T283" s="5" t="s">
        <v>44</v>
      </c>
      <c r="U283" s="5"/>
      <c r="V283" s="5"/>
      <c r="W283" s="5"/>
      <c r="X283" s="5"/>
      <c r="Y283" s="5" t="s">
        <v>44</v>
      </c>
      <c r="Z283" s="5"/>
      <c r="AA283" s="5"/>
      <c r="AB283" s="9" t="s">
        <v>44</v>
      </c>
      <c r="AC283" s="2" t="s">
        <v>46</v>
      </c>
      <c r="AD283" s="2">
        <v>0</v>
      </c>
      <c r="AE283" s="2" t="s">
        <v>49</v>
      </c>
      <c r="AF283" s="2" t="str">
        <f t="shared" si="4"/>
        <v>Abnormal</v>
      </c>
      <c r="AG283" s="5">
        <v>1</v>
      </c>
      <c r="AH283" s="5" t="str">
        <f>IF(AG283=0,"Normal",
IF(AND(T283="Yes",S283&gt;=2),"ALD",
IF(AND(T283="Yes",S283&gt;=2,O283&gt;N283),"ALD",
IF(AND(T283="No",S283&gt;=2),"ALD",
IF(AND(G283&gt;=25,OR(T283="No",AND(T283="Yes",S283&lt;1))),"NAFLD",
IF(AND(N283&gt;O283,N283&gt;40,S283&lt;1),"NAFLD",
IF(AND(T283="Yes",S283&lt;1,G283&gt;=25,N283&gt;O283),"NAFLD",
IF(OR(P283&gt;1.2,Q283&gt;0.3),"Hyperbilirubinemia",
"Others"))))))))</f>
        <v>NAFLD</v>
      </c>
      <c r="AI283" s="5" t="str">
        <f>IF(AG283=0,"Normal",
IF(AND(T283="Yes",S283&gt;=2),"ALD (Confirmed)",
IF(AND(T283="Yes",S283&gt;=2,O283&gt;N283),"ALD (Confirmed)",
IF(AND(T283="No",S283&gt;=2),"ALD (Probable)",
IF(AND(G283&gt;=25,OR(T283="No",AND(T283="Yes",S283&lt;1))),"NAFLD",
IF(AND(N283&gt;O283,N283&gt;40,S283&lt;1),"NAFLD",
IF(AND(T283="Yes",S283&lt;1,G283&gt;=25,N283&gt;O283),"NAFLD",
IF(OR(P283&gt;1.2,Q283&gt;0.3),"Hyperbilirubinemia",
"Others"))))))))</f>
        <v>NAFLD</v>
      </c>
      <c r="AJ283" s="5">
        <v>12</v>
      </c>
      <c r="AK283" s="5" t="s">
        <v>34</v>
      </c>
    </row>
    <row r="284" spans="1:37" ht="43.2" x14ac:dyDescent="0.3">
      <c r="A284" s="5">
        <v>293</v>
      </c>
      <c r="B284" s="5" t="s">
        <v>40</v>
      </c>
      <c r="C284" s="5">
        <v>65</v>
      </c>
      <c r="D284" s="5">
        <v>10</v>
      </c>
      <c r="E284" s="5">
        <v>167</v>
      </c>
      <c r="F284" s="5">
        <v>69</v>
      </c>
      <c r="G284" s="6">
        <v>24.74</v>
      </c>
      <c r="H284" s="9" t="s">
        <v>33</v>
      </c>
      <c r="I284" s="7">
        <v>32</v>
      </c>
      <c r="J284" s="5" t="s">
        <v>44</v>
      </c>
      <c r="K284" s="5" t="s">
        <v>44</v>
      </c>
      <c r="L284" s="5" t="s">
        <v>44</v>
      </c>
      <c r="M284" s="5" t="s">
        <v>44</v>
      </c>
      <c r="N284" s="5">
        <v>32.9</v>
      </c>
      <c r="O284" s="5">
        <v>28.6</v>
      </c>
      <c r="P284" s="5">
        <v>0.8</v>
      </c>
      <c r="Q284" s="5">
        <v>0.1</v>
      </c>
      <c r="R284" s="5">
        <v>0.7</v>
      </c>
      <c r="S284" s="8">
        <v>0.86930091185410341</v>
      </c>
      <c r="T284" s="5" t="s">
        <v>44</v>
      </c>
      <c r="U284" s="5"/>
      <c r="V284" s="5"/>
      <c r="W284" s="5"/>
      <c r="X284" s="5"/>
      <c r="Y284" s="5" t="s">
        <v>44</v>
      </c>
      <c r="Z284" s="5"/>
      <c r="AA284" s="5"/>
      <c r="AB284" s="9" t="s">
        <v>44</v>
      </c>
      <c r="AC284" s="2" t="s">
        <v>46</v>
      </c>
      <c r="AD284" s="2">
        <v>0</v>
      </c>
      <c r="AE284" s="2" t="s">
        <v>49</v>
      </c>
      <c r="AF284" s="2" t="str">
        <f t="shared" si="4"/>
        <v>Normal</v>
      </c>
      <c r="AG284" s="5">
        <v>0</v>
      </c>
      <c r="AH284" s="5" t="str">
        <f>IF(AG284=0,"Normal",
IF(AND(T284="Yes",S284&gt;=2),"ALD",
IF(AND(T284="Yes",S284&gt;=2,O284&gt;N284),"ALD",
IF(AND(T284="No",S284&gt;=2),"ALD",
IF(AND(G284&gt;=25,OR(T284="No",AND(T284="Yes",S284&lt;1))),"NAFLD",
IF(AND(N284&gt;O284,N284&gt;40,S284&lt;1),"NAFLD",
IF(AND(T284="Yes",S284&lt;1,G284&gt;=25,N284&gt;O284),"NAFLD",
IF(OR(P284&gt;1.2,Q284&gt;0.3),"Hyperbilirubinemia",
"Others"))))))))</f>
        <v>Normal</v>
      </c>
      <c r="AI284" s="5" t="str">
        <f>IF(AG284=0,"Normal",
IF(AND(T284="Yes",S284&gt;=2),"ALD (Confirmed)",
IF(AND(T284="Yes",S284&gt;=2,O284&gt;N284),"ALD (Confirmed)",
IF(AND(T284="No",S284&gt;=2),"ALD (Probable)",
IF(AND(G284&gt;=25,OR(T284="No",AND(T284="Yes",S284&lt;1))),"NAFLD",
IF(AND(N284&gt;O284,N284&gt;40,S284&lt;1),"NAFLD",
IF(AND(T284="Yes",S284&lt;1,G284&gt;=25,N284&gt;O284),"NAFLD",
IF(OR(P284&gt;1.2,Q284&gt;0.3),"Hyperbilirubinemia",
"Others"))))))))</f>
        <v>Normal</v>
      </c>
      <c r="AJ284" s="5">
        <v>10</v>
      </c>
      <c r="AK284" s="5" t="s">
        <v>34</v>
      </c>
    </row>
    <row r="285" spans="1:37" ht="43.2" x14ac:dyDescent="0.3">
      <c r="A285" s="5">
        <v>294</v>
      </c>
      <c r="B285" s="5" t="s">
        <v>39</v>
      </c>
      <c r="C285" s="5">
        <v>48</v>
      </c>
      <c r="D285" s="7">
        <v>20</v>
      </c>
      <c r="E285" s="5">
        <v>167</v>
      </c>
      <c r="F285" s="5">
        <v>69</v>
      </c>
      <c r="G285" s="6">
        <v>24.74</v>
      </c>
      <c r="H285" s="9" t="s">
        <v>33</v>
      </c>
      <c r="I285" s="7">
        <v>32</v>
      </c>
      <c r="J285" s="5" t="s">
        <v>44</v>
      </c>
      <c r="K285" s="5" t="s">
        <v>44</v>
      </c>
      <c r="L285" s="5" t="s">
        <v>44</v>
      </c>
      <c r="M285" s="5" t="s">
        <v>44</v>
      </c>
      <c r="N285" s="5">
        <v>46.4</v>
      </c>
      <c r="O285" s="5">
        <v>51.6</v>
      </c>
      <c r="P285" s="5">
        <v>0.37</v>
      </c>
      <c r="Q285" s="5">
        <v>7.0000000000000007E-2</v>
      </c>
      <c r="R285" s="5">
        <v>0.3</v>
      </c>
      <c r="S285" s="8">
        <v>1.1120689655172415</v>
      </c>
      <c r="T285" s="5" t="s">
        <v>44</v>
      </c>
      <c r="U285" s="5"/>
      <c r="V285" s="5"/>
      <c r="W285" s="5"/>
      <c r="X285" s="5"/>
      <c r="Y285" s="5" t="s">
        <v>44</v>
      </c>
      <c r="Z285" s="5"/>
      <c r="AA285" s="5"/>
      <c r="AB285" s="9" t="s">
        <v>44</v>
      </c>
      <c r="AC285" s="2" t="s">
        <v>46</v>
      </c>
      <c r="AD285" s="2">
        <v>0</v>
      </c>
      <c r="AE285" s="2" t="s">
        <v>49</v>
      </c>
      <c r="AF285" s="2" t="str">
        <f t="shared" si="4"/>
        <v>Abnormal</v>
      </c>
      <c r="AG285" s="5">
        <v>1</v>
      </c>
      <c r="AH285" s="5" t="str">
        <f>IF(AG285=0,"Normal",
IF(AND(T285="Yes",S285&gt;=2),"ALD",
IF(AND(T285="Yes",S285&gt;=2,O285&gt;N285),"ALD",
IF(AND(T285="No",S285&gt;=2),"ALD",
IF(AND(G285&gt;=25,OR(T285="No",AND(T285="Yes",S285&lt;1))),"NAFLD",
IF(AND(N285&gt;O285,N285&gt;40,S285&lt;1),"NAFLD",
IF(AND(T285="Yes",S285&lt;1,G285&gt;=25,N285&gt;O285),"NAFLD",
IF(OR(P285&gt;1.2,Q285&gt;0.3),"Hyperbilirubinemia",
"Others"))))))))</f>
        <v>Others</v>
      </c>
      <c r="AI285" s="5" t="str">
        <f>IF(AG285=0,"Normal",
IF(AND(T285="Yes",S285&gt;=2),"ALD (Confirmed)",
IF(AND(T285="Yes",S285&gt;=2,O285&gt;N285),"ALD (Confirmed)",
IF(AND(T285="No",S285&gt;=2),"ALD (Probable)",
IF(AND(G285&gt;=25,OR(T285="No",AND(T285="Yes",S285&lt;1))),"NAFLD",
IF(AND(N285&gt;O285,N285&gt;40,S285&lt;1),"NAFLD",
IF(AND(T285="Yes",S285&lt;1,G285&gt;=25,N285&gt;O285),"NAFLD",
IF(OR(P285&gt;1.2,Q285&gt;0.3),"Hyperbilirubinemia",
"Others"))))))))</f>
        <v>Others</v>
      </c>
      <c r="AJ285" s="5">
        <v>15</v>
      </c>
      <c r="AK285" s="5" t="s">
        <v>34</v>
      </c>
    </row>
    <row r="286" spans="1:37" ht="43.2" x14ac:dyDescent="0.3">
      <c r="A286" s="5">
        <v>295</v>
      </c>
      <c r="B286" s="5" t="s">
        <v>40</v>
      </c>
      <c r="C286" s="5">
        <v>43</v>
      </c>
      <c r="D286" s="5">
        <v>10</v>
      </c>
      <c r="E286" s="5">
        <v>167</v>
      </c>
      <c r="F286" s="5">
        <v>69</v>
      </c>
      <c r="G286" s="6">
        <v>24.74</v>
      </c>
      <c r="H286" s="9" t="s">
        <v>33</v>
      </c>
      <c r="I286" s="7">
        <v>32</v>
      </c>
      <c r="J286" s="5" t="s">
        <v>44</v>
      </c>
      <c r="K286" s="5" t="s">
        <v>44</v>
      </c>
      <c r="L286" s="5" t="s">
        <v>44</v>
      </c>
      <c r="M286" s="5" t="s">
        <v>44</v>
      </c>
      <c r="N286" s="5">
        <v>12.8</v>
      </c>
      <c r="O286" s="5">
        <v>16.7</v>
      </c>
      <c r="P286" s="5">
        <v>0.93</v>
      </c>
      <c r="Q286" s="5">
        <v>0.22</v>
      </c>
      <c r="R286" s="5">
        <v>0.71</v>
      </c>
      <c r="S286" s="8">
        <v>1.3046874999999998</v>
      </c>
      <c r="T286" s="5" t="s">
        <v>44</v>
      </c>
      <c r="U286" s="5"/>
      <c r="V286" s="5"/>
      <c r="W286" s="5"/>
      <c r="X286" s="5"/>
      <c r="Y286" s="5" t="s">
        <v>44</v>
      </c>
      <c r="Z286" s="5"/>
      <c r="AA286" s="5"/>
      <c r="AB286" s="9" t="s">
        <v>44</v>
      </c>
      <c r="AC286" s="2" t="s">
        <v>46</v>
      </c>
      <c r="AD286" s="2">
        <v>0</v>
      </c>
      <c r="AE286" s="2" t="s">
        <v>49</v>
      </c>
      <c r="AF286" s="2" t="str">
        <f t="shared" si="4"/>
        <v>Normal</v>
      </c>
      <c r="AG286" s="5">
        <v>0</v>
      </c>
      <c r="AH286" s="5" t="str">
        <f>IF(AG286=0,"Normal",
IF(AND(T286="Yes",S286&gt;=2),"ALD",
IF(AND(T286="Yes",S286&gt;=2,O286&gt;N286),"ALD",
IF(AND(T286="No",S286&gt;=2),"ALD",
IF(AND(G286&gt;=25,OR(T286="No",AND(T286="Yes",S286&lt;1))),"NAFLD",
IF(AND(N286&gt;O286,N286&gt;40,S286&lt;1),"NAFLD",
IF(AND(T286="Yes",S286&lt;1,G286&gt;=25,N286&gt;O286),"NAFLD",
IF(OR(P286&gt;1.2,Q286&gt;0.3),"Hyperbilirubinemia",
"Others"))))))))</f>
        <v>Normal</v>
      </c>
      <c r="AI286" s="5" t="str">
        <f>IF(AG286=0,"Normal",
IF(AND(T286="Yes",S286&gt;=2),"ALD (Confirmed)",
IF(AND(T286="Yes",S286&gt;=2,O286&gt;N286),"ALD (Confirmed)",
IF(AND(T286="No",S286&gt;=2),"ALD (Probable)",
IF(AND(G286&gt;=25,OR(T286="No",AND(T286="Yes",S286&lt;1))),"NAFLD",
IF(AND(N286&gt;O286,N286&gt;40,S286&lt;1),"NAFLD",
IF(AND(T286="Yes",S286&lt;1,G286&gt;=25,N286&gt;O286),"NAFLD",
IF(OR(P286&gt;1.2,Q286&gt;0.3),"Hyperbilirubinemia",
"Others"))))))))</f>
        <v>Normal</v>
      </c>
      <c r="AJ286" s="5">
        <v>7</v>
      </c>
      <c r="AK286" s="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Vinay /</dc:creator>
  <cp:keywords/>
  <dc:description/>
  <cp:lastModifiedBy>Vinay /</cp:lastModifiedBy>
  <cp:revision/>
  <dcterms:created xsi:type="dcterms:W3CDTF">2026-03-27T11:10:15Z</dcterms:created>
  <dcterms:modified xsi:type="dcterms:W3CDTF">2026-04-16T20:55:56Z</dcterms:modified>
  <cp:category/>
  <cp:contentStatus/>
</cp:coreProperties>
</file>